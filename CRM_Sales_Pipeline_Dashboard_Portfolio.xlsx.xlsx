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olmabhuti/Desktop/Portfolio Projects/"/>
    </mc:Choice>
  </mc:AlternateContent>
  <xr:revisionPtr revIDLastSave="0" documentId="8_{B817DBF5-783C-B14B-B8BF-731858C53AC1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0 - Setup (Lists)" sheetId="1" r:id="rId1"/>
    <sheet name="1 - Customers" sheetId="2" r:id="rId2"/>
    <sheet name="2 - Sales Pipeline" sheetId="3" r:id="rId3"/>
    <sheet name="3 - Activity Timeline" sheetId="4" r:id="rId4"/>
    <sheet name="4 - Pivot Tables" sheetId="5" r:id="rId5"/>
    <sheet name="5 - Dashboard" sheetId="6" r:id="rId6"/>
  </sheets>
  <calcPr calcId="191029"/>
  <pivotCaches>
    <pivotCache cacheId="6" r:id="rId7"/>
    <pivotCache cacheId="11" r:id="rId8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4" l="1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K3" i="3"/>
  <c r="L3" i="3" s="1"/>
  <c r="K4" i="3"/>
  <c r="L4" i="3" s="1"/>
  <c r="K5" i="3"/>
  <c r="L5" i="3" s="1"/>
  <c r="K6" i="3"/>
  <c r="L6" i="3" s="1"/>
  <c r="K7" i="3"/>
  <c r="L7" i="3" s="1"/>
  <c r="K8" i="3"/>
  <c r="L8" i="3" s="1"/>
  <c r="K9" i="3"/>
  <c r="L9" i="3" s="1"/>
  <c r="Q4" i="6"/>
  <c r="L4" i="6"/>
  <c r="G4" i="6"/>
  <c r="B4" i="6"/>
  <c r="F13" i="5"/>
  <c r="D12" i="5"/>
  <c r="F12" i="5"/>
  <c r="D11" i="5"/>
  <c r="F11" i="5"/>
  <c r="D10" i="5"/>
  <c r="F10" i="5"/>
  <c r="D9" i="5"/>
  <c r="F5" i="5"/>
  <c r="D5" i="5"/>
  <c r="F4" i="5"/>
  <c r="D4" i="5"/>
  <c r="F3" i="5"/>
  <c r="D3" i="5"/>
  <c r="F2" i="5"/>
  <c r="D2" i="5"/>
  <c r="S17" i="2"/>
  <c r="S16" i="2"/>
  <c r="S15" i="2"/>
  <c r="S14" i="2"/>
  <c r="S13" i="2"/>
  <c r="S12" i="2"/>
  <c r="S11" i="2"/>
  <c r="S10" i="2"/>
  <c r="S9" i="2"/>
  <c r="S8" i="2"/>
  <c r="S7" i="2"/>
  <c r="S6" i="2"/>
  <c r="J6" i="2"/>
  <c r="S5" i="2"/>
  <c r="J5" i="2"/>
  <c r="S4" i="2"/>
  <c r="J4" i="2"/>
  <c r="S3" i="2"/>
  <c r="J3" i="2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N10" i="1"/>
  <c r="M10" i="1"/>
  <c r="N9" i="1"/>
  <c r="M9" i="1"/>
  <c r="N8" i="1"/>
  <c r="M8" i="1"/>
  <c r="N7" i="1"/>
  <c r="M7" i="1"/>
  <c r="N6" i="1"/>
  <c r="M6" i="1"/>
  <c r="N5" i="1"/>
  <c r="M5" i="1"/>
  <c r="N4" i="1"/>
  <c r="M4" i="1"/>
  <c r="N3" i="1"/>
  <c r="M3" i="1"/>
  <c r="N2" i="1"/>
  <c r="M2" i="1"/>
  <c r="E2" i="5" l="1"/>
  <c r="E5" i="5"/>
  <c r="E4" i="5"/>
  <c r="E3" i="5"/>
  <c r="E13" i="5"/>
  <c r="C3" i="4"/>
  <c r="C24" i="4"/>
  <c r="C16" i="4"/>
  <c r="C14" i="4"/>
  <c r="C8" i="4"/>
  <c r="C26" i="4"/>
  <c r="C18" i="4"/>
  <c r="C10" i="4"/>
  <c r="C25" i="4"/>
  <c r="C17" i="4"/>
  <c r="C9" i="4"/>
  <c r="C7" i="4"/>
  <c r="C23" i="4"/>
  <c r="C15" i="4"/>
  <c r="C22" i="4"/>
  <c r="C6" i="4"/>
  <c r="C5" i="4"/>
  <c r="C21" i="4"/>
  <c r="C13" i="4"/>
  <c r="C20" i="4"/>
  <c r="C12" i="4"/>
  <c r="C4" i="4"/>
  <c r="C19" i="4"/>
  <c r="C11" i="4"/>
  <c r="C6" i="3"/>
  <c r="C8" i="3"/>
  <c r="C7" i="3"/>
  <c r="C5" i="3"/>
  <c r="C3" i="3"/>
  <c r="C9" i="3"/>
  <c r="C4" i="3"/>
  <c r="E10" i="5"/>
  <c r="E11" i="5"/>
  <c r="E12" i="5"/>
  <c r="P3" i="1" l="1" a="1"/>
  <c r="P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<sst xmlns="http://schemas.openxmlformats.org/spreadsheetml/2006/main" count="402" uniqueCount="234">
  <si>
    <t>Customer Reference</t>
  </si>
  <si>
    <t>Sales Pipeline Stages</t>
  </si>
  <si>
    <t>Probability %</t>
  </si>
  <si>
    <t>Status</t>
  </si>
  <si>
    <t>Sales Rep</t>
  </si>
  <si>
    <t>Lead Source</t>
  </si>
  <si>
    <t>Prospecting</t>
  </si>
  <si>
    <t>New</t>
  </si>
  <si>
    <t>John Smith</t>
  </si>
  <si>
    <t>Call</t>
  </si>
  <si>
    <t>Website</t>
  </si>
  <si>
    <t>Qualification/Needs Assessment</t>
  </si>
  <si>
    <t>Contacted</t>
  </si>
  <si>
    <t>Nick Miller</t>
  </si>
  <si>
    <t>Email</t>
  </si>
  <si>
    <t>Social Media</t>
  </si>
  <si>
    <t>Proposal/Demo</t>
  </si>
  <si>
    <t>Working</t>
  </si>
  <si>
    <t>Winston Bishop</t>
  </si>
  <si>
    <t>Meeting</t>
  </si>
  <si>
    <t>Referral</t>
  </si>
  <si>
    <t>Negotiation</t>
  </si>
  <si>
    <t>Qualified</t>
  </si>
  <si>
    <t>Cecilia Schmidt</t>
  </si>
  <si>
    <t>Follow-Up</t>
  </si>
  <si>
    <t>Networking</t>
  </si>
  <si>
    <t>Closed Won</t>
  </si>
  <si>
    <t>Unqualified</t>
  </si>
  <si>
    <t>Jessica Night</t>
  </si>
  <si>
    <t>Demo</t>
  </si>
  <si>
    <t>Email Campaign</t>
  </si>
  <si>
    <t>Closed Lost</t>
  </si>
  <si>
    <t>Customer</t>
  </si>
  <si>
    <t>Proposal Sent</t>
  </si>
  <si>
    <t>LinkedIn</t>
  </si>
  <si>
    <t>Inactive</t>
  </si>
  <si>
    <t>Website Form Submission</t>
  </si>
  <si>
    <t>Paid Ads</t>
  </si>
  <si>
    <t>Note</t>
  </si>
  <si>
    <t>Organic Search</t>
  </si>
  <si>
    <t>Other</t>
  </si>
  <si>
    <t>Event / Webinar</t>
  </si>
  <si>
    <t>Cold Outreach</t>
  </si>
  <si>
    <t>Existing Customer</t>
  </si>
  <si>
    <t>Partner / Affiliate</t>
  </si>
  <si>
    <t>Client ID</t>
  </si>
  <si>
    <t>Name</t>
  </si>
  <si>
    <t>Phone #</t>
  </si>
  <si>
    <t>Company</t>
  </si>
  <si>
    <t>Lead Status</t>
  </si>
  <si>
    <t>Last Contact Date</t>
  </si>
  <si>
    <t>Created Date</t>
  </si>
  <si>
    <t>Notes</t>
  </si>
  <si>
    <t>Helper_ID</t>
  </si>
  <si>
    <t>C001</t>
  </si>
  <si>
    <t>Alice Chen</t>
  </si>
  <si>
    <t>alice.chen@example.com</t>
  </si>
  <si>
    <t>416-555-1021</t>
  </si>
  <si>
    <t>Chen Wellness</t>
  </si>
  <si>
    <t>Requested info on pricing</t>
  </si>
  <si>
    <t>C002</t>
  </si>
  <si>
    <t>Ethan Park</t>
  </si>
  <si>
    <t>ethan.park@example.com</t>
  </si>
  <si>
    <t>647-555-3345</t>
  </si>
  <si>
    <t>Park Consulting</t>
  </si>
  <si>
    <t>Initial outreach sent</t>
  </si>
  <si>
    <t>C003</t>
  </si>
  <si>
    <t>Emma Brooks</t>
  </si>
  <si>
    <t>emma.brooks@example.com</t>
  </si>
  <si>
    <t>416-555-7789</t>
  </si>
  <si>
    <t>Brooks Creative</t>
  </si>
  <si>
    <t>Referred by existing client</t>
  </si>
  <si>
    <t>C004</t>
  </si>
  <si>
    <t>Marcus Bennett</t>
  </si>
  <si>
    <t>marcus.bennett@example.com</t>
  </si>
  <si>
    <t>905-555-2211</t>
  </si>
  <si>
    <t>Bennett Logistics</t>
  </si>
  <si>
    <t>Met at networking event</t>
  </si>
  <si>
    <t>C005</t>
  </si>
  <si>
    <t>Chloe Nguyen</t>
  </si>
  <si>
    <t>chloe.nguyen@example.com</t>
  </si>
  <si>
    <t>647-555-9087</t>
  </si>
  <si>
    <t>Nguyen Marketing</t>
  </si>
  <si>
    <t>Downloaded brochure</t>
  </si>
  <si>
    <t>C006</t>
  </si>
  <si>
    <t>Daniel Rodriguez</t>
  </si>
  <si>
    <t>daniel.r@example.com</t>
  </si>
  <si>
    <t>416-555-6643</t>
  </si>
  <si>
    <t>Rodriguez Law</t>
  </si>
  <si>
    <t>Needs proposal for services</t>
  </si>
  <si>
    <t>C007</t>
  </si>
  <si>
    <t>Sophia Patel</t>
  </si>
  <si>
    <t>sophia.patel@example.com</t>
  </si>
  <si>
    <t>647-555-1129</t>
  </si>
  <si>
    <t>Patel Health</t>
  </si>
  <si>
    <t>No budget confirmed yet</t>
  </si>
  <si>
    <t>C008</t>
  </si>
  <si>
    <t>Liam O’Connor</t>
  </si>
  <si>
    <t>liam.oconnor@example.com</t>
  </si>
  <si>
    <t>905-555-4490</t>
  </si>
  <si>
    <t>O’Connor Finance</t>
  </si>
  <si>
    <t>Follow-up scheduled</t>
  </si>
  <si>
    <t>C009</t>
  </si>
  <si>
    <t>Isabella Rossi</t>
  </si>
  <si>
    <t>isabella.rossi@example.com</t>
  </si>
  <si>
    <t>416-555-7301</t>
  </si>
  <si>
    <t>Rossi Designs</t>
  </si>
  <si>
    <t>Interested in premium plan</t>
  </si>
  <si>
    <t>C010</t>
  </si>
  <si>
    <t>Noah Kim</t>
  </si>
  <si>
    <t>noah.kim@example.com</t>
  </si>
  <si>
    <t>647-555-8844</t>
  </si>
  <si>
    <t>Kim Analytics</t>
  </si>
  <si>
    <t>Opened campaign email</t>
  </si>
  <si>
    <t>C011</t>
  </si>
  <si>
    <t>Maya Singh</t>
  </si>
  <si>
    <t>maya.singh@example.com</t>
  </si>
  <si>
    <t>416-555-3912</t>
  </si>
  <si>
    <t>Singh Consulting</t>
  </si>
  <si>
    <t>Discovery call completed</t>
  </si>
  <si>
    <t>C012</t>
  </si>
  <si>
    <t>Oliver Grant</t>
  </si>
  <si>
    <t>oliver.grant@example.com</t>
  </si>
  <si>
    <t>905-555-6108</t>
  </si>
  <si>
    <t>Grant Solutions</t>
  </si>
  <si>
    <t>No response yet</t>
  </si>
  <si>
    <t>C013</t>
  </si>
  <si>
    <t>Ava Martinez</t>
  </si>
  <si>
    <t>ava.martinez@example.com</t>
  </si>
  <si>
    <t>647-555-5420</t>
  </si>
  <si>
    <t>Martinez Co.</t>
  </si>
  <si>
    <t>Requested demo</t>
  </si>
  <si>
    <t>C014</t>
  </si>
  <si>
    <t>Jackson Lee</t>
  </si>
  <si>
    <t>jackson.lee@example.com</t>
  </si>
  <si>
    <t>416-555-9734</t>
  </si>
  <si>
    <t>Lee Enterprises</t>
  </si>
  <si>
    <t>Strong interest expressed</t>
  </si>
  <si>
    <t>C015</t>
  </si>
  <si>
    <t>Nina Kapoor</t>
  </si>
  <si>
    <t>nina.kapoor@example.com</t>
  </si>
  <si>
    <t>647-555-6632</t>
  </si>
  <si>
    <t>Kapoor Wellness</t>
  </si>
  <si>
    <t>Proposal requested</t>
  </si>
  <si>
    <t>Client Name</t>
  </si>
  <si>
    <t>Stage</t>
  </si>
  <si>
    <t>Opportunity ID</t>
  </si>
  <si>
    <t>Opportunity Name</t>
  </si>
  <si>
    <t>Assigned To</t>
  </si>
  <si>
    <t>Next Action</t>
  </si>
  <si>
    <t>Next Action Due Date</t>
  </si>
  <si>
    <t>Forecast Value</t>
  </si>
  <si>
    <t>Value</t>
  </si>
  <si>
    <t>Expected Close Date</t>
  </si>
  <si>
    <t>Helper_Col</t>
  </si>
  <si>
    <t>OPP-001</t>
  </si>
  <si>
    <t>Consulting Services Proposal</t>
  </si>
  <si>
    <t>Prepare proposal</t>
  </si>
  <si>
    <t>OPP-002</t>
  </si>
  <si>
    <t>Logistics Support Services</t>
  </si>
  <si>
    <t>Send follow-up email</t>
  </si>
  <si>
    <t>OPP-003</t>
  </si>
  <si>
    <t>Legal Services Engagement</t>
  </si>
  <si>
    <t>Send formal proposal</t>
  </si>
  <si>
    <t>OPP-004</t>
  </si>
  <si>
    <t>Design Project Scope</t>
  </si>
  <si>
    <t>Follow up on pricing</t>
  </si>
  <si>
    <t>OPP-005</t>
  </si>
  <si>
    <t>Custom Consulting Package</t>
  </si>
  <si>
    <t>Negotiate final terms</t>
  </si>
  <si>
    <t>OPP-006</t>
  </si>
  <si>
    <t>Send proposal draft</t>
  </si>
  <si>
    <t>OPP-007</t>
  </si>
  <si>
    <t>Operations Consulting</t>
  </si>
  <si>
    <t>Date of Interaction</t>
  </si>
  <si>
    <t>Type of Interaction</t>
  </si>
  <si>
    <t>Summary of Interaction</t>
  </si>
  <si>
    <t>Next Steps</t>
  </si>
  <si>
    <t>Follow-Up Date</t>
  </si>
  <si>
    <t>Overdue Status</t>
  </si>
  <si>
    <t>Submitted website form requesting pricing</t>
  </si>
  <si>
    <t>Review inquiry and respond</t>
  </si>
  <si>
    <t>Sent pricing overview and service options</t>
  </si>
  <si>
    <t>Schedule discovery call</t>
  </si>
  <si>
    <t>Initial outreach via LinkedIn message</t>
  </si>
  <si>
    <t>Wait for response</t>
  </si>
  <si>
    <t>Introductory call to discuss referral background</t>
  </si>
  <si>
    <t>Send service overview</t>
  </si>
  <si>
    <t>Sent service overview PDF</t>
  </si>
  <si>
    <t>Schedule discovery meeting</t>
  </si>
  <si>
    <t>Met at networking event; discussed logistics needs</t>
  </si>
  <si>
    <t>Downloaded brochure from website</t>
  </si>
  <si>
    <t>Reach out via email</t>
  </si>
  <si>
    <t>Follow-up email after brochure download</t>
  </si>
  <si>
    <t>Confirm interest level</t>
  </si>
  <si>
    <t>Referral call to discuss legal service needs</t>
  </si>
  <si>
    <t>Prepare proposal outline</t>
  </si>
  <si>
    <t>Intro call; budget not confirmed</t>
  </si>
  <si>
    <t>Check back next month</t>
  </si>
  <si>
    <t>LinkedIn follow-up after connection</t>
  </si>
  <si>
    <t>Schedule intro call</t>
  </si>
  <si>
    <t>Discussed design project scope</t>
  </si>
  <si>
    <t>Send pricing tiers</t>
  </si>
  <si>
    <t>Sent premium pricing options</t>
  </si>
  <si>
    <t>Await decision</t>
  </si>
  <si>
    <t>Opened email campaign and replied with interest</t>
  </si>
  <si>
    <t>Completed discovery call</t>
  </si>
  <si>
    <t>Prepare custom proposal</t>
  </si>
  <si>
    <t>Initial LinkedIn outreach sent</t>
  </si>
  <si>
    <t>Follow up if no response</t>
  </si>
  <si>
    <t>Requested demo via website</t>
  </si>
  <si>
    <t>Schedule demo</t>
  </si>
  <si>
    <t>Intro call; strong buying intent</t>
  </si>
  <si>
    <t>Create opportunity</t>
  </si>
  <si>
    <t>Deal marked as Closed Lost — proposal declined</t>
  </si>
  <si>
    <t>Deal marked as Closed Won — contract signed</t>
  </si>
  <si>
    <t>Number of Deals by Stage (Deal Volume Funnel)</t>
  </si>
  <si>
    <t>Spacer</t>
  </si>
  <si>
    <t>COUNTA of Opportunity ID</t>
  </si>
  <si>
    <t>Total Deal Value by Stage (Revenue Funnel)</t>
  </si>
  <si>
    <t>Win vs. Loss Ratio</t>
  </si>
  <si>
    <t>Monthly Revenue Trend</t>
  </si>
  <si>
    <t>Oct</t>
  </si>
  <si>
    <t>Nov</t>
  </si>
  <si>
    <t>Dec</t>
  </si>
  <si>
    <t>Top 5 Deals By Client</t>
  </si>
  <si>
    <t>Pipeline Value (Open Deals Only)</t>
  </si>
  <si>
    <t>Win Rate (Value-Based)</t>
  </si>
  <si>
    <t>Average Deal Size (Closed Won)</t>
  </si>
  <si>
    <t>New Clients (This Month)</t>
  </si>
  <si>
    <t>Opporunity Reference</t>
  </si>
  <si>
    <t>Activity Types</t>
  </si>
  <si>
    <t>Sum of Value</t>
  </si>
  <si>
    <t>CRM &amp; Sales Pipeline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</si>
</sst>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164" formatCode="0.0%"/>
    <numFmt numFmtId="165" formatCode="m/d/yyyy"/>
    <numFmt numFmtId="166" formatCode="mm/dd/yyyy"/>
    <numFmt numFmtId="167" formatCode="yyyy\-mm\-dd"/>
    <numFmt numFmtId="168" formatCode="&quot;$&quot;#,##0"/>
    <numFmt numFmtId="169" formatCode="&quot;$&quot;#,##0.00"/>
  </numFmts>
  <fonts count="1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0"/>
      <name val="Arial"/>
      <family val="2"/>
    </font>
    <font>
      <u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20"/>
      <color rgb="FF434343"/>
      <name val="Arial"/>
      <family val="2"/>
      <scheme val="minor"/>
    </font>
    <font>
      <sz val="20"/>
      <name val="Arial"/>
      <family val="2"/>
      <scheme val="minor"/>
    </font>
    <font>
      <b/>
      <sz val="22"/>
      <color theme="1"/>
      <name val="Arial"/>
      <family val="2"/>
      <scheme val="minor"/>
    </font>
    <font>
      <sz val="22"/>
      <color rgb="FF000000"/>
      <name val="Arial"/>
      <family val="2"/>
      <scheme val="minor"/>
    </font>
    <font>
      <sz val="22"/>
      <name val="Arial"/>
      <family val="2"/>
      <scheme val="minor"/>
    </font>
    <font>
      <sz val="12"/>
      <color rgb="FF000000"/>
      <name val="Arial"/>
      <family val="2"/>
      <scheme val="minor"/>
    </font>
    <font>
      <sz val="12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57BB8A"/>
        <bgColor rgb="FF57BB8A"/>
      </patternFill>
    </fill>
    <fill>
      <patternFill patternType="solid">
        <fgColor rgb="FFB7E1CD"/>
        <bgColor rgb="FFB7E1CD"/>
      </patternFill>
    </fill>
    <fill>
      <patternFill patternType="solid">
        <fgColor rgb="FFBDBDBD"/>
        <bgColor rgb="FFBDBDB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9" fontId="1" fillId="0" borderId="0" xfId="0" applyNumberFormat="1" applyFont="1"/>
    <xf numFmtId="0" fontId="1" fillId="0" borderId="0" xfId="0" applyFont="1" applyAlignment="1">
      <alignment horizontal="left" wrapText="1"/>
    </xf>
    <xf numFmtId="44" fontId="1" fillId="0" borderId="0" xfId="0" applyNumberFormat="1" applyFont="1"/>
    <xf numFmtId="0" fontId="1" fillId="0" borderId="1" xfId="0" applyFont="1" applyBorder="1"/>
    <xf numFmtId="44" fontId="1" fillId="0" borderId="1" xfId="0" applyNumberFormat="1" applyFont="1" applyBorder="1"/>
    <xf numFmtId="165" fontId="1" fillId="0" borderId="1" xfId="0" applyNumberFormat="1" applyFont="1" applyBorder="1"/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165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0" fontId="6" fillId="0" borderId="0" xfId="0" applyFont="1"/>
    <xf numFmtId="0" fontId="4" fillId="2" borderId="2" xfId="0" applyFont="1" applyFill="1" applyBorder="1"/>
    <xf numFmtId="44" fontId="4" fillId="2" borderId="2" xfId="0" applyNumberFormat="1" applyFont="1" applyFill="1" applyBorder="1"/>
    <xf numFmtId="165" fontId="4" fillId="2" borderId="2" xfId="0" applyNumberFormat="1" applyFont="1" applyFill="1" applyBorder="1"/>
    <xf numFmtId="9" fontId="4" fillId="2" borderId="2" xfId="0" applyNumberFormat="1" applyFont="1" applyFill="1" applyBorder="1"/>
    <xf numFmtId="9" fontId="0" fillId="0" borderId="0" xfId="0" applyNumberFormat="1"/>
    <xf numFmtId="44" fontId="0" fillId="0" borderId="0" xfId="0" applyNumberFormat="1"/>
    <xf numFmtId="0" fontId="2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9" fontId="1" fillId="0" borderId="0" xfId="0" applyNumberFormat="1" applyFont="1" applyAlignment="1">
      <alignment vertical="center"/>
    </xf>
    <xf numFmtId="164" fontId="1" fillId="0" borderId="0" xfId="0" applyNumberFormat="1" applyFont="1"/>
    <xf numFmtId="0" fontId="8" fillId="0" borderId="0" xfId="0" applyFont="1" applyAlignment="1">
      <alignment horizontal="center"/>
    </xf>
    <xf numFmtId="0" fontId="8" fillId="6" borderId="0" xfId="0" applyFont="1" applyFill="1" applyAlignment="1">
      <alignment horizontal="center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5" fillId="0" borderId="4" xfId="0" applyFont="1" applyBorder="1"/>
    <xf numFmtId="0" fontId="1" fillId="3" borderId="0" xfId="0" applyFont="1" applyFill="1" applyBorder="1"/>
    <xf numFmtId="0" fontId="0" fillId="0" borderId="0" xfId="0" applyBorder="1"/>
    <xf numFmtId="0" fontId="9" fillId="4" borderId="0" xfId="0" applyFont="1" applyFill="1" applyBorder="1" applyAlignment="1">
      <alignment horizontal="center"/>
    </xf>
    <xf numFmtId="0" fontId="10" fillId="0" borderId="0" xfId="0" applyFont="1" applyBorder="1"/>
    <xf numFmtId="169" fontId="11" fillId="5" borderId="0" xfId="0" applyNumberFormat="1" applyFont="1" applyFill="1" applyBorder="1" applyAlignment="1">
      <alignment horizontal="center" vertical="center"/>
    </xf>
    <xf numFmtId="0" fontId="12" fillId="0" borderId="0" xfId="0" applyFont="1" applyBorder="1"/>
    <xf numFmtId="0" fontId="13" fillId="0" borderId="0" xfId="0" applyFont="1" applyBorder="1"/>
    <xf numFmtId="9" fontId="11" fillId="5" borderId="0" xfId="0" applyNumberFormat="1" applyFont="1" applyFill="1" applyBorder="1" applyAlignment="1">
      <alignment horizontal="center" vertical="center"/>
    </xf>
    <xf numFmtId="9" fontId="13" fillId="0" borderId="0" xfId="0" applyNumberFormat="1" applyFont="1" applyBorder="1"/>
    <xf numFmtId="168" fontId="11" fillId="5" borderId="0" xfId="0" applyNumberFormat="1" applyFont="1" applyFill="1" applyBorder="1" applyAlignment="1">
      <alignment horizontal="center" vertical="center"/>
    </xf>
    <xf numFmtId="0" fontId="11" fillId="5" borderId="0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14" fillId="0" borderId="0" xfId="0" applyFont="1" applyBorder="1"/>
    <xf numFmtId="0" fontId="15" fillId="0" borderId="0" xfId="0" applyFont="1" applyBorder="1"/>
    <xf numFmtId="0" fontId="7" fillId="3" borderId="0" xfId="0" applyFont="1" applyFill="1" applyBorder="1"/>
    <xf numFmtId="0" fontId="1" fillId="3" borderId="0" xfId="0" applyFont="1" applyFill="1" applyBorder="1" applyAlignment="1">
      <alignment horizontal="right"/>
    </xf>
    <xf numFmtId="0" fontId="0" fillId="0" borderId="0" xfId="0" pivotButton="1"/>
    <xf numFmtId="0" fontId="0" fillId="0" borderId="0" xfId="0" applyNumberFormat="1"/>
    <xf numFmtId="10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85"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C27BA0"/>
          <bgColor rgb="FFC27BA0"/>
        </patternFill>
      </fill>
    </dxf>
    <dxf>
      <fill>
        <patternFill patternType="solid">
          <fgColor rgb="FF57BB8A"/>
          <bgColor rgb="FF57BB8A"/>
        </patternFill>
      </fill>
    </dxf>
    <dxf>
      <fill>
        <patternFill patternType="solid">
          <fgColor rgb="FF46BDC6"/>
          <bgColor rgb="FF46BDC6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5" formatCode="m/d/yy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5" formatCode="m/d/yyyy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left" vertical="bottom" textRotation="0" wrapText="0" indent="0" justifyLastLine="0" shrinkToFit="0" readingOrder="0"/>
    </dxf>
    <dxf>
      <border outline="0">
        <top style="thin">
          <color rgb="FFD9D9D9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left" vertical="bottom" textRotation="0" wrapText="0" indent="0" justifyLastLine="0" shrinkToFit="0" readingOrder="0"/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7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5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5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border outline="0">
        <top style="thin">
          <color rgb="FFD9D9D9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border outline="0"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5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5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(&quot;$&quot;* #,##0.00_);_(&quot;$&quot;* \(#,##0.00\);_(&quot;$&quot;* &quot;-&quot;??_);_(@_)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border outline="0">
        <top style="thin">
          <color rgb="FFD9D9D9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/>
        <family val="2"/>
      </font>
      <alignment horizontal="center" vertical="bottom" textRotation="0" wrapText="0" indent="0" justifyLastLine="0" shrinkToFit="0" readingOrder="0"/>
    </dxf>
    <dxf>
      <font>
        <b/>
        <family val="2"/>
      </font>
      <alignment horizontal="center" vertical="bottom" textRotation="0" wrapText="0" indent="0" justifyLastLine="0" shrinkToFit="0" readingOrder="0"/>
    </dxf>
    <dxf>
      <font>
        <b/>
        <family val="2"/>
      </font>
      <alignment horizontal="center" vertical="bottom" textRotation="0" wrapText="0" indent="0" justifyLastLine="0" shrinkToFit="0" readingOrder="0"/>
    </dxf>
    <dxf>
      <font>
        <b/>
        <family val="2"/>
      </font>
      <alignment horizontal="center" vertical="bottom" textRotation="0" wrapText="0" indent="0" justifyLastLine="0" shrinkToFit="0" readingOrder="0"/>
    </dxf>
    <dxf>
      <font>
        <b/>
        <family val="2"/>
      </font>
      <alignment horizontal="center" vertical="bottom" textRotation="0" wrapText="0" indent="0" justifyLastLine="0" shrinkToFit="0" readingOrder="0"/>
    </dxf>
    <dxf>
      <font>
        <b/>
        <family val="2"/>
      </font>
      <alignment horizontal="center" vertical="bottom" textRotation="0" wrapText="0" indent="0" justifyLastLine="0" shrinkToFit="0" readingOrder="0"/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 defaultTableStyle="TableStyleMedium2" defaultPivotStyle="PivotStyleLight16">
    <tableStyle name="0 - Setup (Lists)-style" pivot="0" count="4" xr9:uid="{00000000-0011-0000-FFFF-FFFF00000000}">
      <tableStyleElement type="wholeTable" size="0" dxfId="84"/>
      <tableStyleElement type="headerRow" dxfId="83"/>
      <tableStyleElement type="firstRowStripe" dxfId="82"/>
      <tableStyleElement type="secondRowStripe" dxfId="81"/>
    </tableStyle>
    <tableStyle name="0 - Setup (Lists)-style 2" pivot="0" count="4" xr9:uid="{00000000-0011-0000-FFFF-FFFF01000000}">
      <tableStyleElement type="wholeTable" size="0" dxfId="80"/>
      <tableStyleElement type="headerRow" dxfId="79"/>
      <tableStyleElement type="firstRowStripe" dxfId="78"/>
      <tableStyleElement type="secondRowStripe" dxfId="77"/>
    </tableStyle>
    <tableStyle name="0 - Setup (Lists)-style 3" pivot="0" count="4" xr9:uid="{00000000-0011-0000-FFFF-FFFF02000000}">
      <tableStyleElement type="wholeTable" size="0" dxfId="76"/>
      <tableStyleElement type="headerRow" dxfId="75"/>
      <tableStyleElement type="firstRowStripe" dxfId="74"/>
      <tableStyleElement type="secondRowStripe" dxfId="73"/>
    </tableStyle>
    <tableStyle name="0 - Setup (Lists)-style 4" pivot="0" count="4" xr9:uid="{00000000-0011-0000-FFFF-FFFF03000000}">
      <tableStyleElement type="wholeTable" size="0" dxfId="72"/>
      <tableStyleElement type="headerRow" dxfId="71"/>
      <tableStyleElement type="firstRowStripe" dxfId="70"/>
      <tableStyleElement type="secondRowStripe" dxfId="69"/>
    </tableStyle>
    <tableStyle name="0 - Setup (Lists)-style 5" pivot="0" count="4" xr9:uid="{00000000-0011-0000-FFFF-FFFF04000000}">
      <tableStyleElement type="wholeTable" size="0" dxfId="68"/>
      <tableStyleElement type="headerRow" dxfId="67"/>
      <tableStyleElement type="firstRowStripe" dxfId="66"/>
      <tableStyleElement type="secondRowStripe" dxfId="65"/>
    </tableStyle>
    <tableStyle name="0 - Setup (Lists)-style 6" pivot="0" count="3" xr9:uid="{00000000-0011-0000-FFFF-FFFF05000000}">
      <tableStyleElement type="headerRow" dxfId="64"/>
      <tableStyleElement type="firstRowStripe" dxfId="63"/>
      <tableStyleElement type="secondRowStripe" dxfId="62"/>
    </tableStyle>
    <tableStyle name="0 - Setup (Lists)-style 7" pivot="0" count="3" xr9:uid="{00000000-0011-0000-FFFF-FFFF06000000}">
      <tableStyleElement type="headerRow" dxfId="61"/>
      <tableStyleElement type="firstRowStripe" dxfId="60"/>
      <tableStyleElement type="secondRowStripe" dxfId="5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Deal Value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'4 - Pivot Tables'!$E$9</c:f>
              <c:strCache>
                <c:ptCount val="1"/>
                <c:pt idx="0">
                  <c:v>Spacer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1"/>
          <c:cat>
            <c:strRef>
              <c:f>'4 - Pivot Tables'!$D$9:$D$12</c:f>
              <c:strCache>
                <c:ptCount val="4"/>
                <c:pt idx="0">
                  <c:v>Proposal/Demo</c:v>
                </c:pt>
                <c:pt idx="1">
                  <c:v>Qualification/Needs Assessment</c:v>
                </c:pt>
                <c:pt idx="2">
                  <c:v>Closed Lost</c:v>
                </c:pt>
                <c:pt idx="3">
                  <c:v>Closed Won</c:v>
                </c:pt>
              </c:strCache>
            </c:strRef>
          </c:cat>
          <c:val>
            <c:numRef>
              <c:f>'4 - Pivot Tables'!$E$10:$E$13</c:f>
              <c:numCache>
                <c:formatCode>General</c:formatCode>
                <c:ptCount val="4"/>
                <c:pt idx="0">
                  <c:v>5000</c:v>
                </c:pt>
                <c:pt idx="1">
                  <c:v>4500</c:v>
                </c:pt>
                <c:pt idx="2">
                  <c:v>1500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52-124D-BB77-1CD46F2C1316}"/>
            </c:ext>
          </c:extLst>
        </c:ser>
        <c:ser>
          <c:idx val="1"/>
          <c:order val="1"/>
          <c:tx>
            <c:strRef>
              <c:f>'4 - Pivot Tables'!$F$9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1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'4 - Pivot Tables'!$D$9:$D$12</c:f>
              <c:strCache>
                <c:ptCount val="4"/>
                <c:pt idx="0">
                  <c:v>Proposal/Demo</c:v>
                </c:pt>
                <c:pt idx="1">
                  <c:v>Qualification/Needs Assessment</c:v>
                </c:pt>
                <c:pt idx="2">
                  <c:v>Closed Lost</c:v>
                </c:pt>
                <c:pt idx="3">
                  <c:v>Closed Won</c:v>
                </c:pt>
              </c:strCache>
            </c:strRef>
          </c:cat>
          <c:val>
            <c:numRef>
              <c:f>'4 - Pivot Tables'!$F$10:$F$13</c:f>
              <c:numCache>
                <c:formatCode>_("$"* #,##0.00_);_("$"* \(#,##0.00\);_("$"* "-"??_);_(@_)</c:formatCode>
                <c:ptCount val="4"/>
                <c:pt idx="0">
                  <c:v>4000</c:v>
                </c:pt>
                <c:pt idx="1">
                  <c:v>5000</c:v>
                </c:pt>
                <c:pt idx="2">
                  <c:v>11000</c:v>
                </c:pt>
                <c:pt idx="3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52-124D-BB77-1CD46F2C1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60628418"/>
        <c:axId val="591809340"/>
      </c:barChart>
      <c:catAx>
        <c:axId val="26062841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809340"/>
        <c:crosses val="autoZero"/>
        <c:auto val="1"/>
        <c:lblAlgn val="ctr"/>
        <c:lblOffset val="100"/>
        <c:noMultiLvlLbl val="1"/>
      </c:catAx>
      <c:valAx>
        <c:axId val="591809340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28418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Deals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'4 - Pivot Tables'!$E$1</c:f>
              <c:strCache>
                <c:ptCount val="1"/>
                <c:pt idx="0">
                  <c:v>Spacer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1"/>
          <c:cat>
            <c:strRef>
              <c:f>'4 - Pivot Tables'!$D$2:$D$5</c:f>
              <c:strCache>
                <c:ptCount val="4"/>
                <c:pt idx="0">
                  <c:v>Proposal/Demo</c:v>
                </c:pt>
                <c:pt idx="1">
                  <c:v>Qualification/Needs Assessment</c:v>
                </c:pt>
                <c:pt idx="2">
                  <c:v>Closed Lost</c:v>
                </c:pt>
                <c:pt idx="3">
                  <c:v>Closed Won</c:v>
                </c:pt>
              </c:strCache>
            </c:strRef>
          </c:cat>
          <c:val>
            <c:numRef>
              <c:f>'4 - Pivot Tables'!$E$2:$E$5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C1-FC4C-B9AB-CD0545850787}"/>
            </c:ext>
          </c:extLst>
        </c:ser>
        <c:ser>
          <c:idx val="1"/>
          <c:order val="1"/>
          <c:tx>
            <c:strRef>
              <c:f>'4 - Pivot Tables'!$F$1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'4 - Pivot Tables'!$D$2:$D$5</c:f>
              <c:strCache>
                <c:ptCount val="4"/>
                <c:pt idx="0">
                  <c:v>Proposal/Demo</c:v>
                </c:pt>
                <c:pt idx="1">
                  <c:v>Qualification/Needs Assessment</c:v>
                </c:pt>
                <c:pt idx="2">
                  <c:v>Closed Lost</c:v>
                </c:pt>
                <c:pt idx="3">
                  <c:v>Closed Won</c:v>
                </c:pt>
              </c:strCache>
            </c:strRef>
          </c:cat>
          <c:val>
            <c:numRef>
              <c:f>'4 - Pivot Tables'!$F$2:$F$5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C1-FC4C-B9AB-CD0545850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59147431"/>
        <c:axId val="2089745228"/>
      </c:barChart>
      <c:catAx>
        <c:axId val="1059147431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745228"/>
        <c:crosses val="autoZero"/>
        <c:auto val="1"/>
        <c:lblAlgn val="ctr"/>
        <c:lblOffset val="100"/>
        <c:noMultiLvlLbl val="1"/>
      </c:catAx>
      <c:valAx>
        <c:axId val="2089745228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147431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baseline="0"/>
              <a:t>Top 5 Clients by Deal Value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'4 - Pivot Tables'!$B$28</c:f>
              <c:strCache>
                <c:ptCount val="1"/>
                <c:pt idx="0">
                  <c:v>Sum of Value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4">
                  <a:tint val="54000"/>
                </a:schemeClr>
              </a:solidFill>
              <a:ln>
                <a:noFill/>
              </a:ln>
              <a:effectLst/>
            </c:spPr>
          </c:dPt>
          <c:dPt>
            <c:idx val="1"/>
            <c:invertIfNegative val="1"/>
            <c:bubble3D val="0"/>
            <c:spPr>
              <a:solidFill>
                <a:schemeClr val="accent4">
                  <a:tint val="77000"/>
                </a:schemeClr>
              </a:solidFill>
              <a:ln>
                <a:noFill/>
              </a:ln>
              <a:effectLst/>
            </c:spPr>
          </c:dPt>
          <c:dPt>
            <c:idx val="2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3"/>
            <c:invertIfNegative val="1"/>
            <c:bubble3D val="0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/>
            </c:spPr>
          </c:dPt>
          <c:dPt>
            <c:idx val="4"/>
            <c:invertIfNegative val="1"/>
            <c:bubble3D val="0"/>
            <c:spPr>
              <a:solidFill>
                <a:schemeClr val="accent4">
                  <a:shade val="53000"/>
                </a:schemeClr>
              </a:solidFill>
              <a:ln>
                <a:noFill/>
              </a:ln>
              <a:effectLst/>
            </c:spPr>
          </c:dPt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'4 - Pivot Tables'!$A$29:$A$33</c:f>
              <c:strCache>
                <c:ptCount val="5"/>
                <c:pt idx="0">
                  <c:v>Emma Brooks</c:v>
                </c:pt>
                <c:pt idx="1">
                  <c:v>Marcus Bennett</c:v>
                </c:pt>
                <c:pt idx="2">
                  <c:v>Daniel Rodriguez</c:v>
                </c:pt>
                <c:pt idx="3">
                  <c:v>Isabella Rossi</c:v>
                </c:pt>
                <c:pt idx="4">
                  <c:v>Maya Singh</c:v>
                </c:pt>
              </c:strCache>
            </c:strRef>
          </c:cat>
          <c:val>
            <c:numRef>
              <c:f>'4 - Pivot Tables'!$B$29:$B$33</c:f>
              <c:numCache>
                <c:formatCode>_("$"* #,##0.00_);_("$"* \(#,##0.00\);_("$"* "-"??_);_(@_)</c:formatCode>
                <c:ptCount val="5"/>
                <c:pt idx="0">
                  <c:v>5000</c:v>
                </c:pt>
                <c:pt idx="1">
                  <c:v>6000</c:v>
                </c:pt>
                <c:pt idx="2">
                  <c:v>4000</c:v>
                </c:pt>
                <c:pt idx="3">
                  <c:v>3500</c:v>
                </c:pt>
                <c:pt idx="4">
                  <c:v>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CF-1E44-9F61-6BEBA6E36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54730403"/>
        <c:axId val="789608558"/>
      </c:barChart>
      <c:catAx>
        <c:axId val="254730403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608558"/>
        <c:crosses val="autoZero"/>
        <c:auto val="1"/>
        <c:lblAlgn val="ctr"/>
        <c:lblOffset val="100"/>
        <c:noMultiLvlLbl val="1"/>
      </c:catAx>
      <c:valAx>
        <c:axId val="789608558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0403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Win vs Loss Ratio (%)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252071096976069"/>
          <c:y val="0.23066966629171354"/>
          <c:w val="0.51495857806047862"/>
          <c:h val="0.56461529808773903"/>
        </c:manualLayout>
      </c:layout>
      <c:doughnutChart>
        <c:varyColors val="1"/>
        <c:ser>
          <c:idx val="0"/>
          <c:order val="0"/>
          <c:tx>
            <c:strRef>
              <c:f>'4 - Pivot Tables'!$B$16</c:f>
              <c:strCache>
                <c:ptCount val="1"/>
                <c:pt idx="0">
                  <c:v>Sum of Value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4">
                  <a:tint val="77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CE-8540-BDEB-6BA360FEF2FB}"/>
              </c:ext>
            </c:extLst>
          </c:dPt>
          <c:dPt>
            <c:idx val="1"/>
            <c:bubble3D val="0"/>
            <c:spPr>
              <a:solidFill>
                <a:schemeClr val="accent4">
                  <a:shade val="76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4CE-8540-BDEB-6BA360FEF2F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'4 - Pivot Tables'!$A$17:$A$18</c:f>
              <c:strCache>
                <c:ptCount val="2"/>
                <c:pt idx="0">
                  <c:v>Closed Lost</c:v>
                </c:pt>
                <c:pt idx="1">
                  <c:v>Closed Won</c:v>
                </c:pt>
              </c:strCache>
            </c:strRef>
          </c:cat>
          <c:val>
            <c:numRef>
              <c:f>'4 - Pivot Tables'!$B$17:$B$18</c:f>
              <c:numCache>
                <c:formatCode>0.00%</c:formatCode>
                <c:ptCount val="2"/>
                <c:pt idx="0">
                  <c:v>0.44</c:v>
                </c:pt>
                <c:pt idx="1">
                  <c:v>0.56000000000000005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CE-8540-BDEB-6BA360FEF2F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Closed Won Revenue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'4 - Pivot Tables'!$B$22</c:f>
              <c:strCache>
                <c:ptCount val="1"/>
                <c:pt idx="0">
                  <c:v>Sum of Value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'4 - Pivot Tables'!$A$23:$A$25</c:f>
              <c:strCache>
                <c:ptCount val="3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</c:strCache>
            </c:strRef>
          </c:cat>
          <c:val>
            <c:numRef>
              <c:f>'4 - Pivot Tables'!$B$23:$B$25</c:f>
              <c:numCache>
                <c:formatCode>_("$"* #,##0.00_);_("$"* \(#,##0.00\);_("$"* "-"??_);_(@_)</c:formatCode>
                <c:ptCount val="3"/>
                <c:pt idx="0">
                  <c:v>4500</c:v>
                </c:pt>
                <c:pt idx="1">
                  <c:v>6000</c:v>
                </c:pt>
                <c:pt idx="2">
                  <c:v>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F9-8C40-96F8-679998396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8841196"/>
        <c:axId val="1495444473"/>
      </c:lineChart>
      <c:catAx>
        <c:axId val="21388411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444473"/>
        <c:crosses val="autoZero"/>
        <c:auto val="1"/>
        <c:lblAlgn val="ctr"/>
        <c:lblOffset val="100"/>
        <c:noMultiLvlLbl val="1"/>
      </c:catAx>
      <c:valAx>
        <c:axId val="1495444473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8411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152400</xdr:colOff>
      <xdr:row>25</xdr:row>
      <xdr:rowOff>0</xdr:rowOff>
    </xdr:from>
    <xdr:ext cx="5781675" cy="4191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3572550" y="1991425"/>
          <a:ext cx="5764200" cy="4002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586171</xdr:colOff>
      <xdr:row>5</xdr:row>
      <xdr:rowOff>135430</xdr:rowOff>
    </xdr:from>
    <xdr:ext cx="8391416" cy="2711121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21896</xdr:colOff>
      <xdr:row>5</xdr:row>
      <xdr:rowOff>132711</xdr:rowOff>
    </xdr:from>
    <xdr:ext cx="9196551" cy="2670048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229914</xdr:colOff>
      <xdr:row>23</xdr:row>
      <xdr:rowOff>47625</xdr:rowOff>
    </xdr:from>
    <xdr:ext cx="8539655" cy="2667000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9</xdr:col>
      <xdr:colOff>120432</xdr:colOff>
      <xdr:row>23</xdr:row>
      <xdr:rowOff>131380</xdr:rowOff>
    </xdr:from>
    <xdr:ext cx="4954531" cy="2437086"/>
    <xdr:graphicFrame macro="">
      <xdr:nvGraphicFramePr>
        <xdr:cNvPr id="5" name="Chart 4" title="Chart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13</xdr:col>
      <xdr:colOff>656896</xdr:colOff>
      <xdr:row>23</xdr:row>
      <xdr:rowOff>47626</xdr:rowOff>
    </xdr:from>
    <xdr:ext cx="6350001" cy="2744184"/>
    <xdr:graphicFrame macro="">
      <xdr:nvGraphicFramePr>
        <xdr:cNvPr id="6" name="Chart 5" title="Chart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olma Bhuti" refreshedDate="46020.841111921298" refreshedVersion="8" recordCount="7" xr:uid="{00000000-000A-0000-FFFF-FFFF00000000}">
  <cacheSource type="worksheet">
    <worksheetSource ref="B2:N9" sheet="2 - Sales Pipeline"/>
  </cacheSource>
  <cacheFields count="13">
    <cacheField name="Client ID" numFmtId="0">
      <sharedItems/>
    </cacheField>
    <cacheField name="Client Name" numFmtId="0">
      <sharedItems count="8">
        <s v="Emma Brooks"/>
        <s v="Marcus Bennett"/>
        <s v="Daniel Rodriguez"/>
        <s v="Isabella Rossi"/>
        <s v="Maya Singh"/>
        <s v="Jackson Lee"/>
        <s v="Nina Kapoor"/>
        <e v="#NAME?" u="1"/>
      </sharedItems>
    </cacheField>
    <cacheField name="Stage" numFmtId="0">
      <sharedItems count="4">
        <s v="Qualification/Needs Assessment"/>
        <s v="Closed Lost"/>
        <s v="Proposal/Demo"/>
        <s v="Closed Won"/>
      </sharedItems>
    </cacheField>
    <cacheField name="Opportunity ID" numFmtId="0">
      <sharedItems/>
    </cacheField>
    <cacheField name="Opportunity Name" numFmtId="0">
      <sharedItems/>
    </cacheField>
    <cacheField name="Assigned To" numFmtId="44">
      <sharedItems/>
    </cacheField>
    <cacheField name="Next Action" numFmtId="44">
      <sharedItems/>
    </cacheField>
    <cacheField name="Next Action Due Date" numFmtId="165">
      <sharedItems containsSemiMixedTypes="0" containsNonDate="0" containsDate="1" containsString="0" minDate="2026-01-17T00:00:00" maxDate="2026-02-01T00:00:00"/>
    </cacheField>
    <cacheField name="Created Date" numFmtId="165">
      <sharedItems containsSemiMixedTypes="0" containsNonDate="0" containsDate="1" containsString="0" minDate="2025-10-22T00:00:00" maxDate="2025-12-24T00:00:00"/>
    </cacheField>
    <cacheField name="Probability %" numFmtId="9">
      <sharedItems containsSemiMixedTypes="0" containsString="0" containsNumber="1" minValue="0" maxValue="1"/>
    </cacheField>
    <cacheField name="Forecast Value" numFmtId="44">
      <sharedItems containsSemiMixedTypes="0" containsString="0" containsNumber="1" containsInteger="1" minValue="0" maxValue="6000"/>
    </cacheField>
    <cacheField name="Value" numFmtId="44">
      <sharedItems containsSemiMixedTypes="0" containsString="0" containsNumber="1" containsInteger="1" minValue="3500" maxValue="6000"/>
    </cacheField>
    <cacheField name="Expected Close Date" numFmtId="167">
      <sharedItems containsSemiMixedTypes="0" containsNonDate="0" containsDate="1" containsString="0" minDate="2025-10-31T00:00:00" maxDate="2026-02-1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olma Bhuti" refreshedDate="46020.841112268521" refreshedVersion="8" recordCount="7" xr:uid="{00000000-000A-0000-FFFF-FFFF01000000}">
  <cacheSource type="worksheet">
    <worksheetSource ref="B2:N9" sheet="2 - Sales Pipeline"/>
  </cacheSource>
  <cacheFields count="13">
    <cacheField name="Client ID" numFmtId="0">
      <sharedItems/>
    </cacheField>
    <cacheField name="Client Name" numFmtId="0">
      <sharedItems/>
    </cacheField>
    <cacheField name="Stage" numFmtId="0">
      <sharedItems count="4">
        <s v="Qualification/Needs Assessment"/>
        <s v="Closed Lost"/>
        <s v="Proposal/Demo"/>
        <s v="Closed Won"/>
      </sharedItems>
    </cacheField>
    <cacheField name="Opportunity ID" numFmtId="0">
      <sharedItems/>
    </cacheField>
    <cacheField name="Opportunity Name" numFmtId="0">
      <sharedItems/>
    </cacheField>
    <cacheField name="Assigned To" numFmtId="44">
      <sharedItems/>
    </cacheField>
    <cacheField name="Next Action" numFmtId="44">
      <sharedItems/>
    </cacheField>
    <cacheField name="Next Action Due Date" numFmtId="165">
      <sharedItems containsSemiMixedTypes="0" containsNonDate="0" containsDate="1" containsString="0" minDate="2026-01-17T00:00:00" maxDate="2026-02-01T00:00:00"/>
    </cacheField>
    <cacheField name="Created Date" numFmtId="165">
      <sharedItems containsSemiMixedTypes="0" containsNonDate="0" containsDate="1" containsString="0" minDate="2025-10-22T00:00:00" maxDate="2025-12-24T00:00:00"/>
    </cacheField>
    <cacheField name="Probability %" numFmtId="9">
      <sharedItems containsSemiMixedTypes="0" containsString="0" containsNumber="1" minValue="0" maxValue="1"/>
    </cacheField>
    <cacheField name="Forecast Value" numFmtId="44">
      <sharedItems containsSemiMixedTypes="0" containsString="0" containsNumber="1" containsInteger="1" minValue="0" maxValue="6000"/>
    </cacheField>
    <cacheField name="Value" numFmtId="44">
      <sharedItems containsSemiMixedTypes="0" containsString="0" containsNumber="1" containsInteger="1" minValue="3500" maxValue="6000"/>
    </cacheField>
    <cacheField name="Expected Close Date" numFmtId="167">
      <sharedItems containsSemiMixedTypes="0" containsNonDate="0" containsDate="1" containsString="0" minDate="2025-10-31T00:00:00" maxDate="2026-02-19T00:00:00" count="7">
        <d v="2026-02-05T00:00:00"/>
        <d v="2026-02-10T00:00:00"/>
        <d v="2026-02-15T00:00:00"/>
        <d v="2025-12-18T00:00:00"/>
        <d v="2025-11-28T00:00:00"/>
        <d v="2026-02-18T00:00:00"/>
        <d v="2025-10-31T00:00:00"/>
      </sharedItems>
      <fieldGroup base="12">
        <rangePr autoStart="0" autoEnd="0" groupBy="months" startDate="2025-10-31T00:00:00" endDate="2026-02-19T00:00:00"/>
        <groupItems count="14">
          <s v="&lt;2025-10-3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6-02-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s v="C003"/>
    <x v="0"/>
    <x v="0"/>
    <s v="OPP-001"/>
    <s v="Consulting Services Proposal"/>
    <s v="John Smith"/>
    <s v="Prepare proposal"/>
    <d v="2026-01-17T00:00:00"/>
    <d v="2025-12-03T00:00:00"/>
    <n v="0.25"/>
    <n v="1250"/>
    <n v="5000"/>
    <d v="2026-02-05T00:00:00"/>
  </r>
  <r>
    <s v="C004"/>
    <x v="1"/>
    <x v="1"/>
    <s v="OPP-002"/>
    <s v="Logistics Support Services"/>
    <s v="John Smith"/>
    <s v="Send follow-up email"/>
    <d v="2026-01-17T00:00:00"/>
    <d v="2025-11-20T00:00:00"/>
    <n v="0"/>
    <n v="0"/>
    <n v="6000"/>
    <d v="2026-02-10T00:00:00"/>
  </r>
  <r>
    <s v="C006"/>
    <x v="2"/>
    <x v="2"/>
    <s v="OPP-003"/>
    <s v="Legal Services Engagement"/>
    <s v="John Smith"/>
    <s v="Send formal proposal"/>
    <d v="2026-01-21T00:00:00"/>
    <d v="2025-12-23T00:00:00"/>
    <n v="0.5"/>
    <n v="2000"/>
    <n v="4000"/>
    <d v="2026-02-15T00:00:00"/>
  </r>
  <r>
    <s v="C009"/>
    <x v="3"/>
    <x v="3"/>
    <s v="OPP-004"/>
    <s v="Design Project Scope"/>
    <s v="John Smith"/>
    <s v="Follow up on pricing"/>
    <d v="2026-01-28T00:00:00"/>
    <d v="2025-11-12T00:00:00"/>
    <n v="1"/>
    <n v="3500"/>
    <n v="3500"/>
    <d v="2025-12-18T00:00:00"/>
  </r>
  <r>
    <s v="C011"/>
    <x v="4"/>
    <x v="3"/>
    <s v="OPP-005"/>
    <s v="Custom Consulting Package"/>
    <s v="John Smith"/>
    <s v="Negotiate final terms"/>
    <d v="2026-01-30T00:00:00"/>
    <d v="2025-11-18T00:00:00"/>
    <n v="1"/>
    <n v="6000"/>
    <n v="6000"/>
    <d v="2025-11-28T00:00:00"/>
  </r>
  <r>
    <s v="C014"/>
    <x v="5"/>
    <x v="1"/>
    <s v="OPP-006"/>
    <s v="Custom Consulting Package"/>
    <s v="John Smith"/>
    <s v="Send proposal draft"/>
    <d v="2026-01-29T00:00:00"/>
    <d v="2025-11-19T00:00:00"/>
    <n v="0"/>
    <n v="0"/>
    <n v="5000"/>
    <d v="2026-02-18T00:00:00"/>
  </r>
  <r>
    <s v="C015"/>
    <x v="6"/>
    <x v="3"/>
    <s v="OPP-007"/>
    <s v="Operations Consulting"/>
    <s v="John Smith"/>
    <s v="Prepare proposal"/>
    <d v="2026-01-31T00:00:00"/>
    <d v="2025-10-22T00:00:00"/>
    <n v="1"/>
    <n v="4500"/>
    <n v="4500"/>
    <d v="2025-10-31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s v="C003"/>
    <s v="Emma Brooks"/>
    <x v="0"/>
    <s v="OPP-001"/>
    <s v="Consulting Services Proposal"/>
    <s v="John Smith"/>
    <s v="Prepare proposal"/>
    <d v="2026-01-17T00:00:00"/>
    <d v="2025-12-03T00:00:00"/>
    <n v="0.25"/>
    <n v="1250"/>
    <n v="5000"/>
    <x v="0"/>
  </r>
  <r>
    <s v="C004"/>
    <s v="Marcus Bennett"/>
    <x v="1"/>
    <s v="OPP-002"/>
    <s v="Logistics Support Services"/>
    <s v="John Smith"/>
    <s v="Send follow-up email"/>
    <d v="2026-01-17T00:00:00"/>
    <d v="2025-11-20T00:00:00"/>
    <n v="0"/>
    <n v="0"/>
    <n v="6000"/>
    <x v="1"/>
  </r>
  <r>
    <s v="C006"/>
    <s v="Daniel Rodriguez"/>
    <x v="2"/>
    <s v="OPP-003"/>
    <s v="Legal Services Engagement"/>
    <s v="John Smith"/>
    <s v="Send formal proposal"/>
    <d v="2026-01-21T00:00:00"/>
    <d v="2025-12-23T00:00:00"/>
    <n v="0.5"/>
    <n v="2000"/>
    <n v="4000"/>
    <x v="2"/>
  </r>
  <r>
    <s v="C009"/>
    <s v="Isabella Rossi"/>
    <x v="3"/>
    <s v="OPP-004"/>
    <s v="Design Project Scope"/>
    <s v="John Smith"/>
    <s v="Follow up on pricing"/>
    <d v="2026-01-28T00:00:00"/>
    <d v="2025-11-12T00:00:00"/>
    <n v="1"/>
    <n v="3500"/>
    <n v="3500"/>
    <x v="3"/>
  </r>
  <r>
    <s v="C011"/>
    <s v="Maya Singh"/>
    <x v="3"/>
    <s v="OPP-005"/>
    <s v="Custom Consulting Package"/>
    <s v="John Smith"/>
    <s v="Negotiate final terms"/>
    <d v="2026-01-30T00:00:00"/>
    <d v="2025-11-18T00:00:00"/>
    <n v="1"/>
    <n v="6000"/>
    <n v="6000"/>
    <x v="4"/>
  </r>
  <r>
    <s v="C014"/>
    <s v="Jackson Lee"/>
    <x v="1"/>
    <s v="OPP-006"/>
    <s v="Custom Consulting Package"/>
    <s v="John Smith"/>
    <s v="Send proposal draft"/>
    <d v="2026-01-29T00:00:00"/>
    <d v="2025-11-19T00:00:00"/>
    <n v="0"/>
    <n v="0"/>
    <n v="5000"/>
    <x v="5"/>
  </r>
  <r>
    <s v="C015"/>
    <s v="Nina Kapoor"/>
    <x v="3"/>
    <s v="OPP-007"/>
    <s v="Operations Consulting"/>
    <s v="John Smith"/>
    <s v="Prepare proposal"/>
    <d v="2026-01-31T00:00:00"/>
    <d v="2025-10-22T00:00:00"/>
    <n v="1"/>
    <n v="4500"/>
    <n v="4500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3000000}" name="4 - Pivot Tables 2" cacheId="6" applyNumberFormats="0" applyBorderFormats="0" applyFontFormats="0" applyPatternFormats="0" applyAlignmentFormats="0" applyWidthHeightFormats="0" dataCaption="" updatedVersion="8" rowGrandTotals="0" compact="0" compactData="0">
  <location ref="A9:B13" firstHeaderRow="1" firstDataRow="1" firstDataCol="1"/>
  <pivotFields count="13">
    <pivotField name="Client ID" compact="0" outline="0" multipleItemSelectionAllowed="1" showAll="0"/>
    <pivotField name="Client Name" compact="0" outline="0" multipleItemSelectionAllowed="1" showAll="0"/>
    <pivotField name="Stage" axis="axisRow" compact="0" outline="0" multipleItemSelectionAllowed="1" showAll="0" sortType="a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ame="Opportunity ID" compact="0" outline="0" multipleItemSelectionAllowed="1" showAll="0"/>
    <pivotField name="Opportunity Name" compact="0" outline="0" multipleItemSelectionAllowed="1" showAll="0"/>
    <pivotField compact="0" outline="0" showAll="0" includeNewItemsInFilter="1"/>
    <pivotField compact="0" outline="0" showAll="0" includeNewItemsInFilter="1"/>
    <pivotField name="Next Action Due Date" compact="0" numFmtId="165" outline="0" multipleItemSelectionAllowed="1" showAll="0"/>
    <pivotField name="Created Date" compact="0" numFmtId="165" outline="0" multipleItemSelectionAllowed="1" showAll="0"/>
    <pivotField name="Probability %" compact="0" numFmtId="9" outline="0" multipleItemSelectionAllowed="1" showAll="0"/>
    <pivotField compact="0" outline="0" showAll="0" includeNewItemsInFilter="1"/>
    <pivotField dataField="1" compact="0" numFmtId="44" outline="0" showAll="0" includeNewItemsInFilter="1"/>
    <pivotField name="Expected Close Date" compact="0" numFmtId="167" outline="0" multipleItemSelectionAllowed="1" showAll="0"/>
  </pivotFields>
  <rowFields count="1">
    <field x="2"/>
  </rowFields>
  <rowItems count="4">
    <i>
      <x v="2"/>
    </i>
    <i>
      <x/>
    </i>
    <i>
      <x v="1"/>
    </i>
    <i>
      <x v="3"/>
    </i>
  </rowItems>
  <colItems count="1">
    <i/>
  </colItems>
  <dataFields count="1">
    <dataField name="Sum of Value" fld="11" baseField="0" baseItem="0" numFmtId="44"/>
  </dataFields>
  <pivotTableStyleInfo name="PivotStyleLight1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4 - Pivot Tables 3" cacheId="6" applyNumberFormats="0" applyBorderFormats="0" applyFontFormats="0" applyPatternFormats="0" applyAlignmentFormats="0" applyWidthHeightFormats="0" dataCaption="" updatedVersion="8" rowGrandTotals="0" compact="0" compactData="0">
  <location ref="A16:B18" firstHeaderRow="1" firstDataRow="1" firstDataCol="1"/>
  <pivotFields count="13">
    <pivotField name="Client ID" compact="0" outline="0" multipleItemSelectionAllowed="1" showAll="0"/>
    <pivotField name="Client Name" compact="0" outline="0" multipleItemSelectionAllowed="1" showAll="0"/>
    <pivotField name="Stage" axis="axisRow" compact="0" outline="0" multipleItemSelectionAllowed="1" showAll="0" sortType="ascending">
      <items count="5">
        <item x="1"/>
        <item x="3"/>
        <item h="1" x="2"/>
        <item h="1" x="0"/>
        <item t="default"/>
      </items>
    </pivotField>
    <pivotField name="Opportunity ID" compact="0" outline="0" multipleItemSelectionAllowed="1" showAll="0"/>
    <pivotField name="Opportunity Name" compact="0" outline="0" multipleItemSelectionAllowed="1" showAll="0"/>
    <pivotField compact="0" outline="0" showAll="0" includeNewItemsInFilter="1"/>
    <pivotField compact="0" outline="0" showAll="0" includeNewItemsInFilter="1"/>
    <pivotField name="Next Action Due Date" compact="0" numFmtId="165" outline="0" multipleItemSelectionAllowed="1" showAll="0"/>
    <pivotField name="Created Date" compact="0" numFmtId="165" outline="0" multipleItemSelectionAllowed="1" showAll="0"/>
    <pivotField name="Probability %" compact="0" numFmtId="9" outline="0" multipleItemSelectionAllowed="1" showAll="0"/>
    <pivotField compact="0" outline="0" showAll="0" includeNewItemsInFilter="1"/>
    <pivotField dataField="1" compact="0" numFmtId="44" outline="0" showAll="0" includeNewItemsInFilter="1"/>
    <pivotField name="Expected Close Date" compact="0" numFmtId="167" outline="0" multipleItemSelectionAllowed="1" showAll="0"/>
  </pivotFields>
  <rowFields count="1">
    <field x="2"/>
  </rowFields>
  <rowItems count="2">
    <i>
      <x/>
    </i>
    <i>
      <x v="1"/>
    </i>
  </rowItems>
  <colItems count="1">
    <i/>
  </colItems>
  <dataFields count="1">
    <dataField name="Sum of Value" fld="11" showDataAs="percentOfTotal" baseField="0" baseItem="0" numFmtId="10"/>
  </dataFields>
  <pivotTableStyleInfo name="PivotStyleLight1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4 - Pivot Tables 4" cacheId="11" applyNumberFormats="0" applyBorderFormats="0" applyFontFormats="0" applyPatternFormats="0" applyAlignmentFormats="0" applyWidthHeightFormats="0" dataCaption="" updatedVersion="8" rowGrandTotals="0" compact="0" compactData="0">
  <location ref="A22:B25" firstHeaderRow="1" firstDataRow="1" firstDataCol="1" rowPageCount="1" colPageCount="1"/>
  <pivotFields count="13">
    <pivotField name="Client ID" compact="0" outline="0" multipleItemSelectionAllowed="1" showAll="0"/>
    <pivotField name="Client Name" compact="0" outline="0" multipleItemSelectionAllowed="1" showAll="0"/>
    <pivotField name="Stage" axis="axisPage" compact="0" outline="0" multipleItemSelectionAllowed="1" showAll="0">
      <items count="5">
        <item h="1" x="0"/>
        <item h="1" x="1"/>
        <item h="1" x="2"/>
        <item x="3"/>
        <item t="default"/>
      </items>
    </pivotField>
    <pivotField name="Opportunity ID" compact="0" outline="0" multipleItemSelectionAllowed="1" showAll="0"/>
    <pivotField name="Opportunity Name" compact="0" outline="0" multipleItemSelectionAllowed="1" showAll="0"/>
    <pivotField compact="0" outline="0" showAll="0" includeNewItemsInFilter="1"/>
    <pivotField compact="0" outline="0" showAll="0" includeNewItemsInFilter="1"/>
    <pivotField name="Next Action Due Date" compact="0" numFmtId="165" outline="0" multipleItemSelectionAllowed="1" showAll="0"/>
    <pivotField name="Created Date" compact="0" numFmtId="165" outline="0" multipleItemSelectionAllowed="1" showAll="0"/>
    <pivotField name="Probability %" compact="0" numFmtId="9" outline="0" multipleItemSelectionAllowed="1" showAll="0"/>
    <pivotField compact="0" outline="0" showAll="0" includeNewItemsInFilter="1"/>
    <pivotField dataField="1" compact="0" numFmtId="44" outline="0" showAll="0" includeNewItemsInFilter="1"/>
    <pivotField name="Expected Close Date" axis="axisRow" compact="0" numFmtId="167" outline="0" multipleItemSelectionAllowed="1" showAll="0" sortType="ascending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</pivotFields>
  <rowFields count="1">
    <field x="12"/>
  </rowFields>
  <rowItems count="3">
    <i>
      <x v="9"/>
    </i>
    <i>
      <x v="10"/>
    </i>
    <i>
      <x v="11"/>
    </i>
  </rowItems>
  <colItems count="1">
    <i/>
  </colItems>
  <pageFields count="1">
    <pageField fld="2" hier="0"/>
  </pageFields>
  <dataFields count="1">
    <dataField name="Sum of Value" fld="11" baseField="0" baseItem="0" numFmtId="44"/>
  </dataFields>
  <pivotTableStyleInfo name="PivotStyleLight1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4 - Pivot Tables 5" cacheId="6" applyNumberFormats="0" applyBorderFormats="0" applyFontFormats="0" applyPatternFormats="0" applyAlignmentFormats="0" applyWidthHeightFormats="0" dataCaption="" updatedVersion="8" rowGrandTotals="0" compact="0" compactData="0">
  <location ref="A28:B35" firstHeaderRow="1" firstDataRow="1" firstDataCol="1"/>
  <pivotFields count="13">
    <pivotField name="Client ID" compact="0" outline="0" multipleItemSelectionAllowed="1" showAll="0"/>
    <pivotField name="Client Name" axis="axisRow" compact="0" outline="0" multipleItemSelectionAllowed="1" showAll="0">
      <items count="9">
        <item x="0"/>
        <item x="1"/>
        <item x="2"/>
        <item x="3"/>
        <item x="4"/>
        <item x="5"/>
        <item x="6"/>
        <item m="1" x="7"/>
        <item t="default"/>
      </items>
    </pivotField>
    <pivotField name="Stage" compact="0" outline="0" multipleItemSelectionAllowed="1" showAll="0"/>
    <pivotField name="Opportunity ID" compact="0" outline="0" multipleItemSelectionAllowed="1" showAll="0"/>
    <pivotField name="Opportunity Name" compact="0" outline="0" multipleItemSelectionAllowed="1" showAll="0"/>
    <pivotField compact="0" outline="0" showAll="0" includeNewItemsInFilter="1"/>
    <pivotField compact="0" outline="0" showAll="0" includeNewItemsInFilter="1"/>
    <pivotField name="Next Action Due Date" compact="0" numFmtId="165" outline="0" multipleItemSelectionAllowed="1" showAll="0"/>
    <pivotField name="Created Date" compact="0" numFmtId="165" outline="0" multipleItemSelectionAllowed="1" showAll="0"/>
    <pivotField name="Probability %" compact="0" numFmtId="9" outline="0" multipleItemSelectionAllowed="1" showAll="0"/>
    <pivotField compact="0" outline="0" showAll="0" includeNewItemsInFilter="1"/>
    <pivotField dataField="1" compact="0" numFmtId="44" outline="0" showAll="0" includeNewItemsInFilter="1"/>
    <pivotField name="Expected Close Date" compact="0" numFmtId="167" outline="0" multipleItemSelectionAllowed="1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Sum of Value" fld="11" baseField="0" baseItem="0" numFmtId="44"/>
  </dataFields>
  <pivotTableStyleInfo name="PivotStyleLight1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4000000}" name="4 - Pivot Tables" cacheId="6" applyNumberFormats="0" applyBorderFormats="0" applyFontFormats="0" applyPatternFormats="0" applyAlignmentFormats="0" applyWidthHeightFormats="0" dataCaption="" updatedVersion="8" rowGrandTotals="0" compact="0" compactData="0" chartFormat="1">
  <location ref="A2:B6" firstHeaderRow="1" firstDataRow="1" firstDataCol="1"/>
  <pivotFields count="13">
    <pivotField name="Client ID" compact="0" outline="0" multipleItemSelectionAllowed="1" showAll="0"/>
    <pivotField name="Client Name" compact="0" outline="0" multipleItemSelectionAllowed="1" showAll="0"/>
    <pivotField name="Stage" axis="axisRow" compact="0" outline="0" multipleItemSelectionAllowed="1" showAll="0" sortType="ascending">
      <items count="5">
        <item x="0"/>
        <item x="1"/>
        <item x="2"/>
        <item x="3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Opportunity ID" dataField="1" compact="0" outline="0" multipleItemSelectionAllowed="1" showAll="0"/>
    <pivotField name="Opportunity Name" compact="0" outline="0" multipleItemSelectionAllowed="1" showAll="0"/>
    <pivotField compact="0" outline="0" showAll="0" includeNewItemsInFilter="1"/>
    <pivotField compact="0" outline="0" showAll="0" includeNewItemsInFilter="1"/>
    <pivotField name="Next Action Due Date" compact="0" numFmtId="165" outline="0" multipleItemSelectionAllowed="1" showAll="0"/>
    <pivotField name="Created Date" compact="0" numFmtId="165" outline="0" multipleItemSelectionAllowed="1" showAll="0"/>
    <pivotField name="Probability %" compact="0" numFmtId="9" outline="0" multipleItemSelectionAllowed="1" showAll="0"/>
    <pivotField compact="0" outline="0" showAll="0" includeNewItemsInFilter="1"/>
    <pivotField compact="0" numFmtId="44" outline="0" showAll="0" includeNewItemsInFilter="1"/>
    <pivotField name="Expected Close Date" compact="0" numFmtId="167" outline="0" multipleItemSelectionAllowed="1" showAll="0"/>
  </pivotFields>
  <rowFields count="1">
    <field x="2"/>
  </rowFields>
  <rowItems count="4">
    <i>
      <x v="2"/>
    </i>
    <i>
      <x/>
    </i>
    <i>
      <x v="1"/>
    </i>
    <i>
      <x v="3"/>
    </i>
  </rowItems>
  <colItems count="1">
    <i/>
  </colItems>
  <dataFields count="1">
    <dataField name="COUNTA of Opportunity ID" fld="3" subtotal="count" baseField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8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ages_List" displayName="Stages_List" ref="B2:C8" headerRowDxfId="58" headerRowCellStyle="Normal">
  <tableColumns count="2">
    <tableColumn id="1" xr3:uid="{00000000-0010-0000-0000-000001000000}" name="Sales Pipeline Stages"/>
    <tableColumn id="2" xr3:uid="{00000000-0010-0000-0000-000002000000}" name="Probability %"/>
  </tableColumns>
  <tableStyleInfo name="0 - Setup (Lists)-style 6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tatus_List" displayName="Status_List" ref="E2:E9" headerRowDxfId="57" headerRowCellStyle="Normal">
  <tableColumns count="1">
    <tableColumn id="1" xr3:uid="{00000000-0010-0000-0100-000001000000}" name="Status"/>
  </tableColumns>
  <tableStyleInfo name="0 - Setup (Lists)-style 6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alesRep_List" displayName="SalesRep_List" ref="G2:G7" headerRowDxfId="56" headerRowCellStyle="Normal">
  <tableColumns count="1">
    <tableColumn id="1" xr3:uid="{00000000-0010-0000-0200-000001000000}" name="Sales Rep"/>
  </tableColumns>
  <tableStyleInfo name="0 - Setup (Lists)-style 6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ctivityTypes_List" displayName="ActivityTypes_List" ref="I2:I11" headerRowDxfId="55" headerRowCellStyle="Normal">
  <tableColumns count="1">
    <tableColumn id="1" xr3:uid="{00000000-0010-0000-0300-000001000000}" name="Activity Types"/>
  </tableColumns>
  <tableStyleInfo name="0 - Setup (Lists)-style 6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LeadSources_List" displayName="LeadSources_List" ref="K2:K14" headerRowDxfId="54" headerRowCellStyle="Normal">
  <tableColumns count="1">
    <tableColumn id="1" xr3:uid="{00000000-0010-0000-0400-000001000000}" name="Lead Source"/>
  </tableColumns>
  <tableStyleInfo name="0 - Setup (Lists)-style 6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1" displayName="Table_1" ref="M2:N17" headerRowDxfId="53" headerRowCellStyle="Normal">
  <tableColumns count="2">
    <tableColumn id="1" xr3:uid="{00000000-0010-0000-0500-000001000000}" name="Client ID"/>
    <tableColumn id="2" xr3:uid="{00000000-0010-0000-0500-000002000000}" name="Name"/>
  </tableColumns>
  <tableStyleInfo name="0 - Setup (Lists)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7FACD42-4BAA-D14E-B5E0-91BA0054C680}" name="tblCustomers" displayName="tblCustomers" ref="B2:L17" totalsRowShown="0" headerRowDxfId="52" dataDxfId="50" headerRowBorderDxfId="51" tableBorderDxfId="49">
  <autoFilter ref="B2:L17" xr:uid="{E7FACD42-4BAA-D14E-B5E0-91BA0054C680}"/>
  <tableColumns count="11">
    <tableColumn id="1" xr3:uid="{A3A2D5AD-9294-C143-ACCB-F80FA24A60A3}" name="Client ID" dataDxfId="48"/>
    <tableColumn id="2" xr3:uid="{03595CE9-349B-E745-A5F2-901CB7B1CE93}" name="Name" dataDxfId="47"/>
    <tableColumn id="3" xr3:uid="{46B51613-B8B7-A542-B289-47ED4A223024}" name="Email" dataDxfId="46"/>
    <tableColumn id="4" xr3:uid="{E1D20234-0CCA-BB4A-961B-E8289488CB89}" name="Phone #" dataDxfId="45"/>
    <tableColumn id="5" xr3:uid="{E91556B6-D5D6-7F43-981D-F886F0125EBD}" name="Company" dataDxfId="44"/>
    <tableColumn id="6" xr3:uid="{6C1D2EF7-6EEF-CC4E-9B73-66A0665A8259}" name="Lead Source" dataDxfId="43"/>
    <tableColumn id="7" xr3:uid="{C56156D0-7A3C-FB40-B2A2-780BD898930E}" name="Sales Rep" dataDxfId="42"/>
    <tableColumn id="8" xr3:uid="{715EDE4F-68FF-304F-8BE3-C28A0C0D2C9F}" name="Lead Status" dataDxfId="41"/>
    <tableColumn id="9" xr3:uid="{5CD4419E-B76B-F045-9B9E-5EAF5395A896}" name="Last Contact Date" dataDxfId="40"/>
    <tableColumn id="10" xr3:uid="{995D45FF-30B7-8440-B3F9-87B8F6900425}" name="Created Date" dataDxfId="39"/>
    <tableColumn id="11" xr3:uid="{EDD8BCDD-6D6E-1E42-8E72-29D72A7CECCC}" name="Notes" dataDxfId="38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6F06960-92E9-244B-AAF1-DA01799712B8}" name="tblSalesPipeline" displayName="tblSalesPipeline" ref="B2:N9" totalsRowShown="0" dataDxfId="36" headerRowBorderDxfId="37" tableBorderDxfId="35">
  <autoFilter ref="B2:N9" xr:uid="{26F06960-92E9-244B-AAF1-DA01799712B8}"/>
  <tableColumns count="13">
    <tableColumn id="1" xr3:uid="{BBFD63E2-2D04-4644-924F-CBF9A10FF164}" name="Client ID" dataDxfId="34"/>
    <tableColumn id="2" xr3:uid="{F3D4EFEF-731E-A444-9256-EBA5CAA05159}" name="Client Name" dataDxfId="33">
      <calculatedColumnFormula>IF(B3="","", _xlfn.XLOOKUP(B3, '0 - Setup (Lists)'!M:M, '0 - Setup (Lists)'!N:N))</calculatedColumnFormula>
    </tableColumn>
    <tableColumn id="3" xr3:uid="{B7C3914C-E5C8-2B47-AE35-91F308D3EAFD}" name="Stage" dataDxfId="32"/>
    <tableColumn id="4" xr3:uid="{560A3D51-D182-8B42-AF23-EA4EAB5EA3D1}" name="Opportunity ID" dataDxfId="31"/>
    <tableColumn id="5" xr3:uid="{98455C00-36CB-624E-A446-BA5537D103D3}" name="Opportunity Name" dataDxfId="30"/>
    <tableColumn id="6" xr3:uid="{9B14F9BF-E0F3-7C4B-A314-4CA0BFF7EAAD}" name="Assigned To" dataDxfId="29"/>
    <tableColumn id="7" xr3:uid="{182ABAE8-3576-7E4B-AAF1-913644A164A0}" name="Next Action" dataDxfId="28"/>
    <tableColumn id="8" xr3:uid="{917EB000-3D80-434F-A470-90D33B8ED9B9}" name="Next Action Due Date" dataDxfId="27"/>
    <tableColumn id="9" xr3:uid="{D19809A0-70C9-264F-909F-7C7A661A8CE8}" name="Created Date" dataDxfId="26"/>
    <tableColumn id="10" xr3:uid="{5DE6C5CE-64D3-0C4F-B5E9-3714AE8475B8}" name="Probability %" dataDxfId="25">
      <calculatedColumnFormula>IF(B3="","", _xlfn.XLOOKUP('2 - Sales Pipeline'!D3,Stages_List[Sales Pipeline Stages], Stages_List[Probability %]))</calculatedColumnFormula>
    </tableColumn>
    <tableColumn id="11" xr3:uid="{214C61E7-1A0F-6F46-AC3C-B3527D49CA7C}" name="Forecast Value" dataDxfId="24">
      <calculatedColumnFormula>IFERROR(M3 * K3, "")</calculatedColumnFormula>
    </tableColumn>
    <tableColumn id="12" xr3:uid="{D9782840-F9D6-A946-939A-7A56C380EF0D}" name="Value" dataDxfId="23"/>
    <tableColumn id="13" xr3:uid="{BACA54C7-93C7-6247-8A6E-4CCE85F27506}" name="Expected Close Date" dataDxfId="22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3644B34-CCB1-174D-987C-FFF9476AB0D4}" name="tblActivityTimeline" displayName="tblActivityTimeline" ref="B2:J26" totalsRowShown="0" headerRowDxfId="21" dataDxfId="19" headerRowBorderDxfId="20" tableBorderDxfId="18">
  <autoFilter ref="B2:J26" xr:uid="{03644B34-CCB1-174D-987C-FFF9476AB0D4}"/>
  <tableColumns count="9">
    <tableColumn id="1" xr3:uid="{7CCEE7DD-E99D-5749-B9BD-7505656CED0D}" name="Client ID" dataDxfId="17"/>
    <tableColumn id="2" xr3:uid="{F092C630-6CDA-4645-AE83-74408E5E9AC5}" name="Client Name" dataDxfId="16">
      <calculatedColumnFormula>IF(B3="","", _xlfn.XLOOKUP(B3, '0 - Setup (Lists)'!M:M, '0 - Setup (Lists)'!N:N))</calculatedColumnFormula>
    </tableColumn>
    <tableColumn id="3" xr3:uid="{1F20A012-A950-BB44-A095-659F4344728A}" name="Opportunity ID" dataDxfId="15"/>
    <tableColumn id="4" xr3:uid="{4E425F7A-75EF-5840-941D-9092936EF4F8}" name="Date of Interaction" dataDxfId="14"/>
    <tableColumn id="5" xr3:uid="{F352225B-876F-254C-9C16-7E521C82582E}" name="Type of Interaction" dataDxfId="13"/>
    <tableColumn id="6" xr3:uid="{B389EE1B-2E9E-4D4D-B119-BFDE699BC715}" name="Summary of Interaction" dataDxfId="12"/>
    <tableColumn id="7" xr3:uid="{B354B0A7-4883-0F43-8108-A2A8D6D701F1}" name="Next Steps" dataDxfId="11"/>
    <tableColumn id="8" xr3:uid="{03576F2E-E677-144C-B2C3-C2ECAACD06B5}" name="Follow-Up Date" dataDxfId="10"/>
    <tableColumn id="9" xr3:uid="{D2868088-7C4D-B64A-A133-2E7331AA62E0}" name="Overdue Status" dataDxfId="9">
      <calculatedColumnFormula>IF(tblActivityTimeline[[#This Row],[Follow-Up Date]]="","",
     IF(tblActivityTimeline[[#This Row],[Follow-Up Date]] &lt; TODAY(),"Overdue","Good")
  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74E13"/>
    <outlinePr summaryBelow="0" summaryRight="0"/>
  </sheetPr>
  <dimension ref="A1:S39"/>
  <sheetViews>
    <sheetView showGridLines="0" tabSelected="1" workbookViewId="0">
      <pane ySplit="2" topLeftCell="A3" activePane="bottomLeft" state="frozen"/>
      <selection pane="bottomLeft" activeCell="Q7" sqref="Q7"/>
    </sheetView>
  </sheetViews>
  <sheetFormatPr baseColWidth="10" defaultColWidth="12.6640625" defaultRowHeight="15.75" customHeight="1" x14ac:dyDescent="0.15"/>
  <cols>
    <col min="1" max="1" width="3.1640625" customWidth="1"/>
    <col min="2" max="2" width="26.33203125" bestFit="1" customWidth="1"/>
    <col min="3" max="3" width="13.1640625" bestFit="1" customWidth="1"/>
    <col min="4" max="4" width="3.1640625" customWidth="1"/>
    <col min="5" max="5" width="9.83203125" bestFit="1" customWidth="1"/>
    <col min="6" max="6" width="3.1640625" customWidth="1"/>
    <col min="7" max="7" width="13.1640625" bestFit="1" customWidth="1"/>
    <col min="8" max="8" width="3.1640625" customWidth="1"/>
    <col min="9" max="9" width="21.1640625" bestFit="1" customWidth="1"/>
    <col min="10" max="10" width="3.1640625" customWidth="1"/>
    <col min="11" max="11" width="15" bestFit="1" customWidth="1"/>
    <col min="12" max="12" width="3.1640625" customWidth="1"/>
    <col min="13" max="13" width="9" bestFit="1" customWidth="1"/>
    <col min="14" max="14" width="14.33203125" bestFit="1" customWidth="1"/>
    <col min="15" max="15" width="3.5" customWidth="1"/>
    <col min="16" max="16" width="14.1640625" bestFit="1" customWidth="1"/>
    <col min="17" max="17" width="24" bestFit="1" customWidth="1"/>
    <col min="18" max="18" width="9" bestFit="1" customWidth="1"/>
    <col min="19" max="19" width="14.33203125" bestFit="1" customWidth="1"/>
  </cols>
  <sheetData>
    <row r="1" spans="1:19" ht="13" x14ac:dyDescent="0.15">
      <c r="A1" s="26"/>
      <c r="B1" s="26"/>
      <c r="C1" s="26"/>
      <c r="D1" s="26"/>
      <c r="E1" s="26"/>
      <c r="F1" s="1"/>
      <c r="G1" s="32"/>
      <c r="H1" s="33"/>
      <c r="J1" s="26"/>
      <c r="K1" s="26"/>
      <c r="M1" s="34" t="s">
        <v>0</v>
      </c>
      <c r="N1" s="33"/>
      <c r="P1" s="34" t="s">
        <v>230</v>
      </c>
      <c r="Q1" s="34"/>
      <c r="R1" s="34"/>
      <c r="S1" s="34"/>
    </row>
    <row r="2" spans="1:19" s="30" customFormat="1" ht="13" x14ac:dyDescent="0.15">
      <c r="B2" s="30" t="s">
        <v>1</v>
      </c>
      <c r="C2" s="30" t="s">
        <v>2</v>
      </c>
      <c r="E2" s="30" t="s">
        <v>3</v>
      </c>
      <c r="G2" s="30" t="s">
        <v>4</v>
      </c>
      <c r="I2" s="30" t="s">
        <v>231</v>
      </c>
      <c r="K2" s="30" t="s">
        <v>5</v>
      </c>
      <c r="M2" s="30" t="str">
        <f ca="1">IFERROR(__xludf.DUMMYFUNCTION("FILTER({'1 - Customers'!B2:B22, '1 - Customers'!C2:C22}, '1 - Customers'!B2:B22 &lt;&gt; """")"),"Client ID")</f>
        <v>Client ID</v>
      </c>
      <c r="N2" s="30" t="str">
        <f ca="1">IFERROR(__xludf.DUMMYFUNCTION("""COMPUTED_VALUE"""),"Name")</f>
        <v>Name</v>
      </c>
      <c r="P2" s="31" t="s">
        <v>146</v>
      </c>
      <c r="Q2" s="31" t="s">
        <v>147</v>
      </c>
      <c r="R2" s="31" t="s">
        <v>45</v>
      </c>
      <c r="S2" s="31" t="s">
        <v>144</v>
      </c>
    </row>
    <row r="3" spans="1:19" ht="13" x14ac:dyDescent="0.15">
      <c r="B3" s="27" t="s">
        <v>6</v>
      </c>
      <c r="C3" s="28">
        <v>0.1</v>
      </c>
      <c r="E3" s="27" t="s">
        <v>7</v>
      </c>
      <c r="G3" s="27" t="s">
        <v>8</v>
      </c>
      <c r="I3" s="27" t="s">
        <v>9</v>
      </c>
      <c r="K3" s="27" t="s">
        <v>10</v>
      </c>
      <c r="M3" s="3" t="str">
        <f ca="1">IFERROR(__xludf.DUMMYFUNCTION("""COMPUTED_VALUE"""),"C001")</f>
        <v>C001</v>
      </c>
      <c r="N3" s="1" t="str">
        <f ca="1">IFERROR(__xludf.DUMMYFUNCTION("""COMPUTED_VALUE"""),"Alice Chen")</f>
        <v>Alice Chen</v>
      </c>
      <c r="P3" t="str" cm="1">
        <f t="array" aca="1" ref="P3:S9" ca="1">_xlfn._xlws.FILTER(
  _xlfn.HSTACK(tblSalesPipeline[Opportunity ID], tblSalesPipeline[Opportunity Name], tblSalesPipeline[Client ID], tblSalesPipeline[Client Name]),
  tblSalesPipeline[Opportunity ID] &lt;&gt; ""
)</f>
        <v>OPP-001</v>
      </c>
      <c r="Q3" t="str">
        <f ca="1"/>
        <v>Consulting Services Proposal</v>
      </c>
      <c r="R3" t="str">
        <f ca="1"/>
        <v>C003</v>
      </c>
      <c r="S3" t="str">
        <f ca="1"/>
        <v>Emma Brooks</v>
      </c>
    </row>
    <row r="4" spans="1:19" ht="13" x14ac:dyDescent="0.15">
      <c r="B4" s="27" t="s">
        <v>11</v>
      </c>
      <c r="C4" s="28">
        <v>0.25</v>
      </c>
      <c r="E4" s="27" t="s">
        <v>12</v>
      </c>
      <c r="G4" s="27" t="s">
        <v>13</v>
      </c>
      <c r="I4" s="27" t="s">
        <v>14</v>
      </c>
      <c r="K4" s="27" t="s">
        <v>15</v>
      </c>
      <c r="M4" s="3" t="str">
        <f ca="1">IFERROR(__xludf.DUMMYFUNCTION("""COMPUTED_VALUE"""),"C002")</f>
        <v>C002</v>
      </c>
      <c r="N4" s="1" t="str">
        <f ca="1">IFERROR(__xludf.DUMMYFUNCTION("""COMPUTED_VALUE"""),"Ethan Park")</f>
        <v>Ethan Park</v>
      </c>
      <c r="P4" t="str">
        <f ca="1"/>
        <v>OPP-002</v>
      </c>
      <c r="Q4" t="str">
        <f ca="1"/>
        <v>Logistics Support Services</v>
      </c>
      <c r="R4" t="str">
        <f ca="1"/>
        <v>C004</v>
      </c>
      <c r="S4" t="str">
        <f ca="1"/>
        <v>Marcus Bennett</v>
      </c>
    </row>
    <row r="5" spans="1:19" ht="13" x14ac:dyDescent="0.15">
      <c r="B5" s="27" t="s">
        <v>16</v>
      </c>
      <c r="C5" s="28">
        <v>0.5</v>
      </c>
      <c r="E5" s="27" t="s">
        <v>17</v>
      </c>
      <c r="G5" s="27" t="s">
        <v>18</v>
      </c>
      <c r="I5" s="27" t="s">
        <v>19</v>
      </c>
      <c r="K5" s="27" t="s">
        <v>20</v>
      </c>
      <c r="M5" s="3" t="str">
        <f ca="1">IFERROR(__xludf.DUMMYFUNCTION("""COMPUTED_VALUE"""),"C003")</f>
        <v>C003</v>
      </c>
      <c r="N5" s="1" t="str">
        <f ca="1">IFERROR(__xludf.DUMMYFUNCTION("""COMPUTED_VALUE"""),"Emma Brooks")</f>
        <v>Emma Brooks</v>
      </c>
      <c r="P5" t="str">
        <f ca="1"/>
        <v>OPP-003</v>
      </c>
      <c r="Q5" t="str">
        <f ca="1"/>
        <v>Legal Services Engagement</v>
      </c>
      <c r="R5" t="str">
        <f ca="1"/>
        <v>C006</v>
      </c>
      <c r="S5" t="str">
        <f ca="1"/>
        <v>Daniel Rodriguez</v>
      </c>
    </row>
    <row r="6" spans="1:19" ht="13" x14ac:dyDescent="0.15">
      <c r="B6" s="1" t="s">
        <v>21</v>
      </c>
      <c r="C6" s="28">
        <v>0.75</v>
      </c>
      <c r="E6" s="27" t="s">
        <v>22</v>
      </c>
      <c r="G6" s="27" t="s">
        <v>23</v>
      </c>
      <c r="I6" s="27" t="s">
        <v>24</v>
      </c>
      <c r="K6" s="27" t="s">
        <v>25</v>
      </c>
      <c r="M6" s="3" t="str">
        <f ca="1">IFERROR(__xludf.DUMMYFUNCTION("""COMPUTED_VALUE"""),"C004")</f>
        <v>C004</v>
      </c>
      <c r="N6" s="1" t="str">
        <f ca="1">IFERROR(__xludf.DUMMYFUNCTION("""COMPUTED_VALUE"""),"Marcus Bennett")</f>
        <v>Marcus Bennett</v>
      </c>
      <c r="P6" t="str">
        <f ca="1"/>
        <v>OPP-004</v>
      </c>
      <c r="Q6" t="str">
        <f ca="1"/>
        <v>Design Project Scope</v>
      </c>
      <c r="R6" t="str">
        <f ca="1"/>
        <v>C009</v>
      </c>
      <c r="S6" t="str">
        <f ca="1"/>
        <v>Isabella Rossi</v>
      </c>
    </row>
    <row r="7" spans="1:19" ht="13" x14ac:dyDescent="0.15">
      <c r="B7" s="27" t="s">
        <v>26</v>
      </c>
      <c r="C7" s="28">
        <v>1</v>
      </c>
      <c r="E7" s="27" t="s">
        <v>27</v>
      </c>
      <c r="G7" s="27" t="s">
        <v>28</v>
      </c>
      <c r="I7" s="27" t="s">
        <v>29</v>
      </c>
      <c r="K7" s="27" t="s">
        <v>30</v>
      </c>
      <c r="M7" s="3" t="str">
        <f ca="1">IFERROR(__xludf.DUMMYFUNCTION("""COMPUTED_VALUE"""),"C005")</f>
        <v>C005</v>
      </c>
      <c r="N7" s="1" t="str">
        <f ca="1">IFERROR(__xludf.DUMMYFUNCTION("""COMPUTED_VALUE"""),"Chloe Nguyen")</f>
        <v>Chloe Nguyen</v>
      </c>
      <c r="P7" t="str">
        <f ca="1"/>
        <v>OPP-005</v>
      </c>
      <c r="Q7" t="str">
        <f ca="1"/>
        <v>Custom Consulting Package</v>
      </c>
      <c r="R7" t="str">
        <f ca="1"/>
        <v>C011</v>
      </c>
      <c r="S7" t="str">
        <f ca="1"/>
        <v>Maya Singh</v>
      </c>
    </row>
    <row r="8" spans="1:19" ht="13" x14ac:dyDescent="0.15">
      <c r="B8" s="27" t="s">
        <v>31</v>
      </c>
      <c r="C8" s="28">
        <v>0</v>
      </c>
      <c r="E8" s="27" t="s">
        <v>32</v>
      </c>
      <c r="I8" s="27" t="s">
        <v>33</v>
      </c>
      <c r="K8" s="27" t="s">
        <v>34</v>
      </c>
      <c r="M8" s="3" t="str">
        <f ca="1">IFERROR(__xludf.DUMMYFUNCTION("""COMPUTED_VALUE"""),"C006")</f>
        <v>C006</v>
      </c>
      <c r="N8" s="1" t="str">
        <f ca="1">IFERROR(__xludf.DUMMYFUNCTION("""COMPUTED_VALUE"""),"Daniel Rodriguez")</f>
        <v>Daniel Rodriguez</v>
      </c>
      <c r="P8" t="str">
        <f ca="1"/>
        <v>OPP-006</v>
      </c>
      <c r="Q8" t="str">
        <f ca="1"/>
        <v>Custom Consulting Package</v>
      </c>
      <c r="R8" t="str">
        <f ca="1"/>
        <v>C014</v>
      </c>
      <c r="S8" t="str">
        <f ca="1"/>
        <v>Jackson Lee</v>
      </c>
    </row>
    <row r="9" spans="1:19" ht="13" x14ac:dyDescent="0.15">
      <c r="B9" s="4"/>
      <c r="C9" s="29"/>
      <c r="D9" s="29"/>
      <c r="E9" s="27" t="s">
        <v>35</v>
      </c>
      <c r="I9" s="27" t="s">
        <v>36</v>
      </c>
      <c r="K9" s="27" t="s">
        <v>37</v>
      </c>
      <c r="M9" s="3" t="str">
        <f ca="1">IFERROR(__xludf.DUMMYFUNCTION("""COMPUTED_VALUE"""),"C007")</f>
        <v>C007</v>
      </c>
      <c r="N9" s="1" t="str">
        <f ca="1">IFERROR(__xludf.DUMMYFUNCTION("""COMPUTED_VALUE"""),"Sophia Patel")</f>
        <v>Sophia Patel</v>
      </c>
      <c r="P9" t="str">
        <f ca="1"/>
        <v>OPP-007</v>
      </c>
      <c r="Q9" t="str">
        <f ca="1"/>
        <v>Operations Consulting</v>
      </c>
      <c r="R9" t="str">
        <f ca="1"/>
        <v>C015</v>
      </c>
      <c r="S9" t="str">
        <f ca="1"/>
        <v>Nina Kapoor</v>
      </c>
    </row>
    <row r="10" spans="1:19" ht="13" x14ac:dyDescent="0.15">
      <c r="B10" s="4"/>
      <c r="C10" s="29"/>
      <c r="D10" s="29"/>
      <c r="I10" s="27" t="s">
        <v>38</v>
      </c>
      <c r="K10" s="27" t="s">
        <v>39</v>
      </c>
      <c r="M10" s="3" t="str">
        <f ca="1">IFERROR(__xludf.DUMMYFUNCTION("""COMPUTED_VALUE"""),"C008")</f>
        <v>C008</v>
      </c>
      <c r="N10" s="1" t="str">
        <f ca="1">IFERROR(__xludf.DUMMYFUNCTION("""COMPUTED_VALUE"""),"Liam O’Connor")</f>
        <v>Liam O’Connor</v>
      </c>
    </row>
    <row r="11" spans="1:19" ht="13" x14ac:dyDescent="0.15">
      <c r="B11" s="4"/>
      <c r="C11" s="29"/>
      <c r="D11" s="29"/>
      <c r="I11" s="27" t="s">
        <v>40</v>
      </c>
      <c r="K11" s="27" t="s">
        <v>41</v>
      </c>
      <c r="M11" s="3" t="str">
        <f ca="1">IFERROR(__xludf.DUMMYFUNCTION("""COMPUTED_VALUE"""),"C009")</f>
        <v>C009</v>
      </c>
      <c r="N11" s="1" t="str">
        <f ca="1">IFERROR(__xludf.DUMMYFUNCTION("""COMPUTED_VALUE"""),"Isabella Rossi")</f>
        <v>Isabella Rossi</v>
      </c>
    </row>
    <row r="12" spans="1:19" ht="13" x14ac:dyDescent="0.15">
      <c r="B12" s="4"/>
      <c r="C12" s="29"/>
      <c r="D12" s="29"/>
      <c r="K12" s="27" t="s">
        <v>42</v>
      </c>
      <c r="M12" s="3" t="str">
        <f ca="1">IFERROR(__xludf.DUMMYFUNCTION("""COMPUTED_VALUE"""),"C010")</f>
        <v>C010</v>
      </c>
      <c r="N12" s="1" t="str">
        <f ca="1">IFERROR(__xludf.DUMMYFUNCTION("""COMPUTED_VALUE"""),"Noah Kim")</f>
        <v>Noah Kim</v>
      </c>
    </row>
    <row r="13" spans="1:19" ht="13" x14ac:dyDescent="0.15">
      <c r="B13" s="4"/>
      <c r="C13" s="29"/>
      <c r="D13" s="29"/>
      <c r="K13" s="27" t="s">
        <v>43</v>
      </c>
      <c r="M13" s="3" t="str">
        <f ca="1">IFERROR(__xludf.DUMMYFUNCTION("""COMPUTED_VALUE"""),"C011")</f>
        <v>C011</v>
      </c>
      <c r="N13" s="1" t="str">
        <f ca="1">IFERROR(__xludf.DUMMYFUNCTION("""COMPUTED_VALUE"""),"Maya Singh")</f>
        <v>Maya Singh</v>
      </c>
    </row>
    <row r="14" spans="1:19" ht="13" x14ac:dyDescent="0.15">
      <c r="B14" s="4"/>
      <c r="C14" s="29"/>
      <c r="D14" s="29"/>
      <c r="K14" s="27" t="s">
        <v>44</v>
      </c>
      <c r="M14" s="3" t="str">
        <f ca="1">IFERROR(__xludf.DUMMYFUNCTION("""COMPUTED_VALUE"""),"C012")</f>
        <v>C012</v>
      </c>
      <c r="N14" s="1" t="str">
        <f ca="1">IFERROR(__xludf.DUMMYFUNCTION("""COMPUTED_VALUE"""),"Oliver Grant")</f>
        <v>Oliver Grant</v>
      </c>
    </row>
    <row r="15" spans="1:19" ht="13" x14ac:dyDescent="0.15">
      <c r="B15" s="4"/>
      <c r="C15" s="29"/>
      <c r="D15" s="29"/>
      <c r="M15" s="3" t="str">
        <f ca="1">IFERROR(__xludf.DUMMYFUNCTION("""COMPUTED_VALUE"""),"C013")</f>
        <v>C013</v>
      </c>
      <c r="N15" s="1" t="str">
        <f ca="1">IFERROR(__xludf.DUMMYFUNCTION("""COMPUTED_VALUE"""),"Ava Martinez")</f>
        <v>Ava Martinez</v>
      </c>
    </row>
    <row r="16" spans="1:19" ht="13" x14ac:dyDescent="0.15">
      <c r="B16" s="4"/>
      <c r="C16" s="29"/>
      <c r="D16" s="29"/>
      <c r="M16" s="3" t="str">
        <f ca="1">IFERROR(__xludf.DUMMYFUNCTION("""COMPUTED_VALUE"""),"C014")</f>
        <v>C014</v>
      </c>
      <c r="N16" s="1" t="str">
        <f ca="1">IFERROR(__xludf.DUMMYFUNCTION("""COMPUTED_VALUE"""),"Jackson Lee")</f>
        <v>Jackson Lee</v>
      </c>
    </row>
    <row r="17" spans="2:14" ht="13" x14ac:dyDescent="0.15">
      <c r="B17" s="4"/>
      <c r="C17" s="29"/>
      <c r="D17" s="29"/>
      <c r="M17" s="3" t="str">
        <f ca="1">IFERROR(__xludf.DUMMYFUNCTION("""COMPUTED_VALUE"""),"C015")</f>
        <v>C015</v>
      </c>
      <c r="N17" s="1" t="str">
        <f ca="1">IFERROR(__xludf.DUMMYFUNCTION("""COMPUTED_VALUE"""),"Nina Kapoor")</f>
        <v>Nina Kapoor</v>
      </c>
    </row>
    <row r="18" spans="2:14" ht="13" x14ac:dyDescent="0.15">
      <c r="B18" s="4"/>
      <c r="C18" s="29"/>
      <c r="D18" s="29"/>
      <c r="M18" s="3"/>
      <c r="N18" s="1"/>
    </row>
    <row r="19" spans="2:14" ht="13" x14ac:dyDescent="0.15">
      <c r="B19" s="4"/>
      <c r="C19" s="29"/>
      <c r="D19" s="29"/>
      <c r="M19" s="3"/>
      <c r="N19" s="1"/>
    </row>
    <row r="20" spans="2:14" ht="13" x14ac:dyDescent="0.15">
      <c r="B20" s="4"/>
      <c r="C20" s="29"/>
      <c r="D20" s="29"/>
      <c r="M20" s="3"/>
      <c r="N20" s="1"/>
    </row>
    <row r="21" spans="2:14" ht="13" x14ac:dyDescent="0.15">
      <c r="B21" s="4"/>
      <c r="C21" s="29"/>
      <c r="D21" s="29"/>
      <c r="M21" s="3"/>
      <c r="N21" s="1"/>
    </row>
    <row r="22" spans="2:14" ht="13" x14ac:dyDescent="0.15">
      <c r="B22" s="4"/>
      <c r="C22" s="29"/>
      <c r="D22" s="29"/>
    </row>
    <row r="32" spans="2:14" ht="15.75" customHeight="1" x14ac:dyDescent="0.15">
      <c r="I32" s="1"/>
      <c r="J32" s="1"/>
      <c r="K32" s="1"/>
      <c r="L32" s="1"/>
    </row>
    <row r="33" spans="9:12" ht="15.75" customHeight="1" x14ac:dyDescent="0.15">
      <c r="I33" s="1"/>
      <c r="J33" s="1"/>
      <c r="K33" s="1"/>
      <c r="L33" s="1"/>
    </row>
    <row r="34" spans="9:12" ht="15.75" customHeight="1" x14ac:dyDescent="0.15">
      <c r="I34" s="1"/>
      <c r="J34" s="1"/>
      <c r="K34" s="1"/>
      <c r="L34" s="1"/>
    </row>
    <row r="35" spans="9:12" ht="15.75" customHeight="1" x14ac:dyDescent="0.15">
      <c r="I35" s="1"/>
      <c r="J35" s="1"/>
      <c r="K35" s="1"/>
      <c r="L35" s="1"/>
    </row>
    <row r="36" spans="9:12" ht="15.75" customHeight="1" x14ac:dyDescent="0.15">
      <c r="I36" s="1"/>
      <c r="J36" s="1"/>
      <c r="K36" s="1"/>
      <c r="L36" s="1"/>
    </row>
    <row r="37" spans="9:12" ht="15.75" customHeight="1" x14ac:dyDescent="0.15">
      <c r="I37" s="1"/>
      <c r="J37" s="1"/>
      <c r="K37" s="1"/>
      <c r="L37" s="1"/>
    </row>
    <row r="38" spans="9:12" ht="15.75" customHeight="1" x14ac:dyDescent="0.15">
      <c r="I38" s="1"/>
      <c r="J38" s="1"/>
      <c r="K38" s="1"/>
      <c r="L38" s="1"/>
    </row>
    <row r="39" spans="9:12" ht="15.75" customHeight="1" x14ac:dyDescent="0.15">
      <c r="I39" s="1"/>
      <c r="J39" s="1"/>
      <c r="K39" s="1"/>
      <c r="L39" s="1"/>
    </row>
  </sheetData>
  <sheetProtection sheet="1" objects="1" scenarios="1"/>
  <mergeCells count="3">
    <mergeCell ref="G1:H1"/>
    <mergeCell ref="M1:N1"/>
    <mergeCell ref="P1:S1"/>
  </mergeCells>
  <dataValidations count="1">
    <dataValidation type="custom" allowBlank="1" showDropDown="1" sqref="C3:C8" xr:uid="{00000000-0002-0000-0000-000000000000}">
      <formula1>AND(ISNUMBER(C3),(NOT(OR(NOT(ISERROR(DATEVALUE(C3))), AND(ISNUMBER(C3), LEFT(CELL("format", C3))="D")))))</formula1>
    </dataValidation>
  </dataValidation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  <outlinePr summaryBelow="0" summaryRight="0"/>
  </sheetPr>
  <dimension ref="A1:S17"/>
  <sheetViews>
    <sheetView workbookViewId="0">
      <pane ySplit="2" topLeftCell="A3" activePane="bottomLeft" state="frozen"/>
      <selection pane="bottomLeft" activeCell="B2" sqref="B2:L17"/>
    </sheetView>
  </sheetViews>
  <sheetFormatPr baseColWidth="10" defaultColWidth="12.6640625" defaultRowHeight="15.75" customHeight="1" x14ac:dyDescent="0.15"/>
  <cols>
    <col min="1" max="1" width="3.1640625" customWidth="1"/>
    <col min="2" max="2" width="11" customWidth="1"/>
    <col min="3" max="3" width="13.6640625" customWidth="1"/>
    <col min="4" max="4" width="24.1640625" customWidth="1"/>
    <col min="5" max="5" width="12.1640625" bestFit="1" customWidth="1"/>
    <col min="6" max="6" width="15.1640625" bestFit="1" customWidth="1"/>
    <col min="7" max="7" width="16.6640625" customWidth="1"/>
    <col min="8" max="8" width="15.1640625" customWidth="1"/>
    <col min="9" max="9" width="14" customWidth="1"/>
    <col min="10" max="10" width="19.33203125" customWidth="1"/>
    <col min="11" max="11" width="16.6640625" customWidth="1"/>
    <col min="12" max="12" width="21.6640625" customWidth="1"/>
    <col min="13" max="18" width="3.6640625" customWidth="1"/>
    <col min="19" max="19" width="12.6640625" hidden="1"/>
  </cols>
  <sheetData>
    <row r="1" spans="1:19" ht="15.75" customHeight="1" x14ac:dyDescent="0.15">
      <c r="A1" s="5"/>
      <c r="G1" s="6"/>
    </row>
    <row r="2" spans="1:19" ht="15.75" customHeight="1" x14ac:dyDescent="0.15">
      <c r="A2" s="1"/>
      <c r="B2" s="25" t="s">
        <v>45</v>
      </c>
      <c r="C2" s="25" t="s">
        <v>46</v>
      </c>
      <c r="D2" s="25" t="s">
        <v>14</v>
      </c>
      <c r="E2" s="25" t="s">
        <v>47</v>
      </c>
      <c r="F2" s="25" t="s">
        <v>48</v>
      </c>
      <c r="G2" s="25" t="s">
        <v>5</v>
      </c>
      <c r="H2" s="25" t="s">
        <v>4</v>
      </c>
      <c r="I2" s="25" t="s">
        <v>49</v>
      </c>
      <c r="J2" s="25" t="s">
        <v>50</v>
      </c>
      <c r="K2" s="25" t="s">
        <v>51</v>
      </c>
      <c r="L2" s="25" t="s">
        <v>52</v>
      </c>
      <c r="S2" s="1" t="s">
        <v>53</v>
      </c>
    </row>
    <row r="3" spans="1:19" ht="15.75" customHeight="1" x14ac:dyDescent="0.15">
      <c r="A3" s="1"/>
      <c r="B3" s="7" t="s">
        <v>54</v>
      </c>
      <c r="C3" s="7" t="s">
        <v>55</v>
      </c>
      <c r="D3" s="7" t="s">
        <v>56</v>
      </c>
      <c r="E3" s="7" t="s">
        <v>57</v>
      </c>
      <c r="F3" s="7" t="s">
        <v>58</v>
      </c>
      <c r="G3" s="8" t="s">
        <v>10</v>
      </c>
      <c r="H3" s="7" t="s">
        <v>18</v>
      </c>
      <c r="I3" s="7" t="s">
        <v>7</v>
      </c>
      <c r="J3" s="9">
        <f ca="1">IFERROR(__xludf.DUMMYFUNCTION("IFERROR(
  MAX( FILTER('3 - Activity Timeline'!E3:E18, '3 - Activity Timeline'!B3:B18 = B3) ),
"""")"),45938)</f>
        <v>45938</v>
      </c>
      <c r="K3" s="9">
        <v>45928</v>
      </c>
      <c r="L3" s="7" t="s">
        <v>59</v>
      </c>
      <c r="S3" s="1">
        <f t="shared" ref="S3:S17" si="0">IF(B3="","",VALUE(MID(B3,2,10)))</f>
        <v>1</v>
      </c>
    </row>
    <row r="4" spans="1:19" ht="15.75" customHeight="1" x14ac:dyDescent="0.15">
      <c r="A4" s="1"/>
      <c r="B4" s="1" t="s">
        <v>60</v>
      </c>
      <c r="C4" s="1" t="s">
        <v>61</v>
      </c>
      <c r="D4" s="1" t="s">
        <v>62</v>
      </c>
      <c r="E4" s="1" t="s">
        <v>63</v>
      </c>
      <c r="F4" s="1" t="s">
        <v>64</v>
      </c>
      <c r="G4" s="8" t="s">
        <v>34</v>
      </c>
      <c r="H4" s="1" t="s">
        <v>18</v>
      </c>
      <c r="I4" s="1" t="s">
        <v>12</v>
      </c>
      <c r="J4" s="9">
        <f ca="1">IFERROR(__xludf.DUMMYFUNCTION("IFERROR(
  MAX( FILTER('3 - Activity Timeline'!E4:E18, '3 - Activity Timeline'!B4:B18 = B4) ),
"""")"),45940)</f>
        <v>45940</v>
      </c>
      <c r="K4" s="10">
        <v>45931</v>
      </c>
      <c r="L4" s="1" t="s">
        <v>65</v>
      </c>
      <c r="S4" s="1">
        <f t="shared" si="0"/>
        <v>2</v>
      </c>
    </row>
    <row r="5" spans="1:19" ht="15.75" customHeight="1" x14ac:dyDescent="0.15">
      <c r="A5" s="1"/>
      <c r="B5" s="1" t="s">
        <v>66</v>
      </c>
      <c r="C5" s="1" t="s">
        <v>67</v>
      </c>
      <c r="D5" s="1" t="s">
        <v>68</v>
      </c>
      <c r="E5" s="1" t="s">
        <v>69</v>
      </c>
      <c r="F5" s="1" t="s">
        <v>70</v>
      </c>
      <c r="G5" s="8" t="s">
        <v>20</v>
      </c>
      <c r="H5" s="1" t="s">
        <v>8</v>
      </c>
      <c r="I5" s="1" t="s">
        <v>22</v>
      </c>
      <c r="J5" s="9">
        <f ca="1">IFERROR(__xludf.DUMMYFUNCTION("IFERROR(
  MAX( FILTER('3 - Activity Timeline'!E5:E18, '3 - Activity Timeline'!B5:B18 = B5) ),
"""")"),45945)</f>
        <v>45945</v>
      </c>
      <c r="K5" s="10">
        <v>45936</v>
      </c>
      <c r="L5" s="1" t="s">
        <v>71</v>
      </c>
      <c r="S5" s="1">
        <f t="shared" si="0"/>
        <v>3</v>
      </c>
    </row>
    <row r="6" spans="1:19" ht="15.75" customHeight="1" x14ac:dyDescent="0.15">
      <c r="A6" s="1"/>
      <c r="B6" s="1" t="s">
        <v>72</v>
      </c>
      <c r="C6" s="1" t="s">
        <v>73</v>
      </c>
      <c r="D6" s="1" t="s">
        <v>74</v>
      </c>
      <c r="E6" s="1" t="s">
        <v>75</v>
      </c>
      <c r="F6" s="1" t="s">
        <v>76</v>
      </c>
      <c r="G6" s="8" t="s">
        <v>25</v>
      </c>
      <c r="H6" s="1" t="s">
        <v>18</v>
      </c>
      <c r="I6" s="1" t="s">
        <v>22</v>
      </c>
      <c r="J6" s="9">
        <f ca="1">IFERROR(__xludf.DUMMYFUNCTION("IFERROR(
  MAX( FILTER('3 - Activity Timeline'!E6:E18, '3 - Activity Timeline'!B6:B18 = B6) ),
"""")"),45986)</f>
        <v>45986</v>
      </c>
      <c r="K6" s="10">
        <v>45971</v>
      </c>
      <c r="L6" s="1" t="s">
        <v>77</v>
      </c>
      <c r="S6" s="1">
        <f t="shared" si="0"/>
        <v>4</v>
      </c>
    </row>
    <row r="7" spans="1:19" ht="15.75" customHeight="1" x14ac:dyDescent="0.15">
      <c r="A7" s="1"/>
      <c r="B7" s="1" t="s">
        <v>78</v>
      </c>
      <c r="C7" s="1" t="s">
        <v>79</v>
      </c>
      <c r="D7" s="1" t="s">
        <v>80</v>
      </c>
      <c r="E7" s="1" t="s">
        <v>81</v>
      </c>
      <c r="F7" s="1" t="s">
        <v>82</v>
      </c>
      <c r="G7" s="8" t="s">
        <v>10</v>
      </c>
      <c r="H7" s="1" t="s">
        <v>23</v>
      </c>
      <c r="I7" s="1" t="s">
        <v>12</v>
      </c>
      <c r="J7" s="10">
        <v>45968</v>
      </c>
      <c r="K7" s="10">
        <v>45976</v>
      </c>
      <c r="L7" s="1" t="s">
        <v>83</v>
      </c>
      <c r="S7" s="1">
        <f t="shared" si="0"/>
        <v>5</v>
      </c>
    </row>
    <row r="8" spans="1:19" ht="15.75" customHeight="1" x14ac:dyDescent="0.15">
      <c r="A8" s="1"/>
      <c r="B8" s="1" t="s">
        <v>84</v>
      </c>
      <c r="C8" s="1" t="s">
        <v>85</v>
      </c>
      <c r="D8" s="1" t="s">
        <v>86</v>
      </c>
      <c r="E8" s="1" t="s">
        <v>87</v>
      </c>
      <c r="F8" s="1" t="s">
        <v>88</v>
      </c>
      <c r="G8" s="8" t="s">
        <v>20</v>
      </c>
      <c r="H8" s="1" t="s">
        <v>18</v>
      </c>
      <c r="I8" s="1" t="s">
        <v>22</v>
      </c>
      <c r="J8" s="10">
        <v>45969</v>
      </c>
      <c r="K8" s="10">
        <v>45979</v>
      </c>
      <c r="L8" s="1" t="s">
        <v>89</v>
      </c>
      <c r="S8" s="1">
        <f t="shared" si="0"/>
        <v>6</v>
      </c>
    </row>
    <row r="9" spans="1:19" ht="15.75" customHeight="1" x14ac:dyDescent="0.15">
      <c r="A9" s="1"/>
      <c r="B9" s="1" t="s">
        <v>90</v>
      </c>
      <c r="C9" s="1" t="s">
        <v>91</v>
      </c>
      <c r="D9" s="1" t="s">
        <v>92</v>
      </c>
      <c r="E9" s="1" t="s">
        <v>93</v>
      </c>
      <c r="F9" s="1" t="s">
        <v>94</v>
      </c>
      <c r="G9" s="8" t="s">
        <v>20</v>
      </c>
      <c r="H9" s="1" t="s">
        <v>28</v>
      </c>
      <c r="I9" s="1" t="s">
        <v>27</v>
      </c>
      <c r="J9" s="10">
        <v>45970</v>
      </c>
      <c r="K9" s="11">
        <v>45964</v>
      </c>
      <c r="L9" s="1" t="s">
        <v>95</v>
      </c>
      <c r="S9" s="1">
        <f t="shared" si="0"/>
        <v>7</v>
      </c>
    </row>
    <row r="10" spans="1:19" ht="15.75" customHeight="1" x14ac:dyDescent="0.15">
      <c r="A10" s="1"/>
      <c r="B10" s="1" t="s">
        <v>96</v>
      </c>
      <c r="C10" s="1" t="s">
        <v>97</v>
      </c>
      <c r="D10" s="1" t="s">
        <v>98</v>
      </c>
      <c r="E10" s="1" t="s">
        <v>99</v>
      </c>
      <c r="F10" s="1" t="s">
        <v>100</v>
      </c>
      <c r="G10" s="8" t="s">
        <v>34</v>
      </c>
      <c r="H10" s="1" t="s">
        <v>18</v>
      </c>
      <c r="I10" s="1" t="s">
        <v>12</v>
      </c>
      <c r="J10" s="10">
        <v>45971</v>
      </c>
      <c r="K10" s="10">
        <v>45966</v>
      </c>
      <c r="L10" s="1" t="s">
        <v>101</v>
      </c>
      <c r="S10" s="1">
        <f t="shared" si="0"/>
        <v>8</v>
      </c>
    </row>
    <row r="11" spans="1:19" ht="15.75" customHeight="1" x14ac:dyDescent="0.15">
      <c r="A11" s="1"/>
      <c r="B11" s="1" t="s">
        <v>102</v>
      </c>
      <c r="C11" s="1" t="s">
        <v>103</v>
      </c>
      <c r="D11" s="1" t="s">
        <v>104</v>
      </c>
      <c r="E11" s="1" t="s">
        <v>105</v>
      </c>
      <c r="F11" s="1" t="s">
        <v>106</v>
      </c>
      <c r="G11" s="8" t="s">
        <v>10</v>
      </c>
      <c r="H11" s="1" t="s">
        <v>13</v>
      </c>
      <c r="I11" s="1" t="s">
        <v>22</v>
      </c>
      <c r="J11" s="10">
        <v>45972</v>
      </c>
      <c r="K11" s="10">
        <v>45968</v>
      </c>
      <c r="L11" s="1" t="s">
        <v>107</v>
      </c>
      <c r="S11" s="1">
        <f t="shared" si="0"/>
        <v>9</v>
      </c>
    </row>
    <row r="12" spans="1:19" ht="15.75" customHeight="1" x14ac:dyDescent="0.15">
      <c r="A12" s="1"/>
      <c r="B12" s="1" t="s">
        <v>108</v>
      </c>
      <c r="C12" s="1" t="s">
        <v>109</v>
      </c>
      <c r="D12" s="1" t="s">
        <v>110</v>
      </c>
      <c r="E12" s="1" t="s">
        <v>111</v>
      </c>
      <c r="F12" s="1" t="s">
        <v>112</v>
      </c>
      <c r="G12" s="8" t="s">
        <v>30</v>
      </c>
      <c r="H12" s="1" t="s">
        <v>18</v>
      </c>
      <c r="I12" s="1" t="s">
        <v>12</v>
      </c>
      <c r="J12" s="10">
        <v>45973</v>
      </c>
      <c r="K12" s="10">
        <v>45970</v>
      </c>
      <c r="L12" s="1" t="s">
        <v>113</v>
      </c>
      <c r="S12" s="1">
        <f t="shared" si="0"/>
        <v>10</v>
      </c>
    </row>
    <row r="13" spans="1:19" ht="15.75" customHeight="1" x14ac:dyDescent="0.15">
      <c r="A13" s="1"/>
      <c r="B13" s="1" t="s">
        <v>114</v>
      </c>
      <c r="C13" s="1" t="s">
        <v>115</v>
      </c>
      <c r="D13" s="1" t="s">
        <v>116</v>
      </c>
      <c r="E13" s="1" t="s">
        <v>117</v>
      </c>
      <c r="F13" s="1" t="s">
        <v>118</v>
      </c>
      <c r="G13" s="8" t="s">
        <v>20</v>
      </c>
      <c r="H13" s="1" t="s">
        <v>8</v>
      </c>
      <c r="I13" s="1" t="s">
        <v>22</v>
      </c>
      <c r="J13" s="10">
        <v>45974</v>
      </c>
      <c r="K13" s="10">
        <v>45972</v>
      </c>
      <c r="L13" s="1" t="s">
        <v>119</v>
      </c>
      <c r="S13" s="1">
        <f t="shared" si="0"/>
        <v>11</v>
      </c>
    </row>
    <row r="14" spans="1:19" ht="15.75" customHeight="1" x14ac:dyDescent="0.15">
      <c r="A14" s="1"/>
      <c r="B14" s="1" t="s">
        <v>120</v>
      </c>
      <c r="C14" s="1" t="s">
        <v>121</v>
      </c>
      <c r="D14" s="1" t="s">
        <v>122</v>
      </c>
      <c r="E14" s="1" t="s">
        <v>123</v>
      </c>
      <c r="F14" s="1" t="s">
        <v>124</v>
      </c>
      <c r="G14" s="8" t="s">
        <v>34</v>
      </c>
      <c r="H14" s="1" t="s">
        <v>18</v>
      </c>
      <c r="I14" s="1" t="s">
        <v>27</v>
      </c>
      <c r="J14" s="10">
        <v>45975</v>
      </c>
      <c r="K14" s="11">
        <v>45973</v>
      </c>
      <c r="L14" s="1" t="s">
        <v>125</v>
      </c>
      <c r="S14" s="1">
        <f t="shared" si="0"/>
        <v>12</v>
      </c>
    </row>
    <row r="15" spans="1:19" ht="15.75" customHeight="1" x14ac:dyDescent="0.15">
      <c r="A15" s="1"/>
      <c r="B15" s="1" t="s">
        <v>126</v>
      </c>
      <c r="C15" s="1" t="s">
        <v>127</v>
      </c>
      <c r="D15" s="1" t="s">
        <v>128</v>
      </c>
      <c r="E15" s="1" t="s">
        <v>129</v>
      </c>
      <c r="F15" s="1" t="s">
        <v>130</v>
      </c>
      <c r="G15" s="8" t="s">
        <v>10</v>
      </c>
      <c r="H15" s="1" t="s">
        <v>28</v>
      </c>
      <c r="I15" s="1" t="s">
        <v>12</v>
      </c>
      <c r="J15" s="10">
        <v>46007</v>
      </c>
      <c r="K15" s="10">
        <v>45992</v>
      </c>
      <c r="L15" s="1" t="s">
        <v>131</v>
      </c>
      <c r="S15" s="1">
        <f t="shared" si="0"/>
        <v>13</v>
      </c>
    </row>
    <row r="16" spans="1:19" ht="15.75" customHeight="1" x14ac:dyDescent="0.15">
      <c r="A16" s="1"/>
      <c r="B16" s="1" t="s">
        <v>132</v>
      </c>
      <c r="C16" s="1" t="s">
        <v>133</v>
      </c>
      <c r="D16" s="1" t="s">
        <v>134</v>
      </c>
      <c r="E16" s="1" t="s">
        <v>135</v>
      </c>
      <c r="F16" s="1" t="s">
        <v>136</v>
      </c>
      <c r="G16" s="8" t="s">
        <v>25</v>
      </c>
      <c r="H16" s="1" t="s">
        <v>18</v>
      </c>
      <c r="I16" s="1" t="s">
        <v>22</v>
      </c>
      <c r="J16" s="10">
        <v>46008</v>
      </c>
      <c r="K16" s="10">
        <v>46001</v>
      </c>
      <c r="L16" s="1" t="s">
        <v>137</v>
      </c>
      <c r="S16" s="1">
        <f t="shared" si="0"/>
        <v>14</v>
      </c>
    </row>
    <row r="17" spans="1:19" ht="15.75" customHeight="1" x14ac:dyDescent="0.15">
      <c r="A17" s="1"/>
      <c r="B17" s="1" t="s">
        <v>138</v>
      </c>
      <c r="C17" s="1" t="s">
        <v>139</v>
      </c>
      <c r="D17" s="1" t="s">
        <v>140</v>
      </c>
      <c r="E17" s="1" t="s">
        <v>141</v>
      </c>
      <c r="F17" s="1" t="s">
        <v>142</v>
      </c>
      <c r="G17" s="8" t="s">
        <v>20</v>
      </c>
      <c r="H17" s="1" t="s">
        <v>13</v>
      </c>
      <c r="I17" s="1" t="s">
        <v>22</v>
      </c>
      <c r="J17" s="10">
        <v>46009</v>
      </c>
      <c r="K17" s="10">
        <v>46006</v>
      </c>
      <c r="L17" s="1" t="s">
        <v>143</v>
      </c>
      <c r="S17" s="1">
        <f t="shared" si="0"/>
        <v>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  <outlinePr summaryBelow="0" summaryRight="0"/>
  </sheetPr>
  <dimension ref="B1:S25"/>
  <sheetViews>
    <sheetView workbookViewId="0">
      <pane ySplit="2" topLeftCell="A3" activePane="bottomLeft" state="frozen"/>
      <selection pane="bottomLeft" activeCell="C9" sqref="C9"/>
    </sheetView>
  </sheetViews>
  <sheetFormatPr baseColWidth="10" defaultColWidth="12.6640625" defaultRowHeight="15.75" customHeight="1" x14ac:dyDescent="0.15"/>
  <cols>
    <col min="1" max="1" width="4.83203125" customWidth="1"/>
    <col min="2" max="2" width="11.5" customWidth="1"/>
    <col min="3" max="3" width="15.1640625" customWidth="1"/>
    <col min="4" max="4" width="27.5" customWidth="1"/>
    <col min="5" max="5" width="17.1640625" customWidth="1"/>
    <col min="6" max="6" width="22.6640625" customWidth="1"/>
    <col min="7" max="7" width="22" customWidth="1"/>
    <col min="8" max="8" width="17.6640625" customWidth="1"/>
    <col min="9" max="9" width="24" customWidth="1"/>
    <col min="10" max="10" width="16.1640625" customWidth="1"/>
    <col min="11" max="11" width="16" style="22" customWidth="1"/>
    <col min="12" max="12" width="19.1640625" style="23" customWidth="1"/>
    <col min="13" max="13" width="10.33203125" bestFit="1" customWidth="1"/>
    <col min="14" max="14" width="23.5" customWidth="1"/>
    <col min="15" max="18" width="13.1640625" customWidth="1"/>
    <col min="19" max="19" width="12.6640625" hidden="1"/>
  </cols>
  <sheetData>
    <row r="1" spans="2:19" ht="15.75" customHeight="1" x14ac:dyDescent="0.15">
      <c r="G1" s="6"/>
      <c r="H1" s="6"/>
      <c r="I1" s="10"/>
      <c r="J1" s="10"/>
      <c r="K1" s="4"/>
      <c r="L1" s="6"/>
      <c r="M1" s="6"/>
    </row>
    <row r="2" spans="2:19" ht="16" x14ac:dyDescent="0.2">
      <c r="B2" s="18" t="s">
        <v>45</v>
      </c>
      <c r="C2" s="18" t="s">
        <v>144</v>
      </c>
      <c r="D2" s="18" t="s">
        <v>145</v>
      </c>
      <c r="E2" s="18" t="s">
        <v>146</v>
      </c>
      <c r="F2" s="18" t="s">
        <v>147</v>
      </c>
      <c r="G2" s="19" t="s">
        <v>148</v>
      </c>
      <c r="H2" s="19" t="s">
        <v>149</v>
      </c>
      <c r="I2" s="20" t="s">
        <v>150</v>
      </c>
      <c r="J2" s="20" t="s">
        <v>51</v>
      </c>
      <c r="K2" s="21" t="s">
        <v>2</v>
      </c>
      <c r="L2" s="19" t="s">
        <v>151</v>
      </c>
      <c r="M2" s="19" t="s">
        <v>152</v>
      </c>
      <c r="N2" s="18" t="s">
        <v>153</v>
      </c>
      <c r="S2" s="1" t="s">
        <v>154</v>
      </c>
    </row>
    <row r="3" spans="2:19" ht="15.75" customHeight="1" x14ac:dyDescent="0.15">
      <c r="B3" s="1" t="s">
        <v>66</v>
      </c>
      <c r="C3" t="str">
        <f ca="1">IF(B3="","", _xlfn.XLOOKUP(B3, '0 - Setup (Lists)'!M:M, '0 - Setup (Lists)'!N:N))</f>
        <v>Emma Brooks</v>
      </c>
      <c r="D3" s="1" t="s">
        <v>11</v>
      </c>
      <c r="E3" s="1" t="s">
        <v>155</v>
      </c>
      <c r="F3" s="1" t="s">
        <v>156</v>
      </c>
      <c r="G3" s="6" t="s">
        <v>8</v>
      </c>
      <c r="H3" s="6" t="s">
        <v>157</v>
      </c>
      <c r="I3" s="10">
        <v>46039</v>
      </c>
      <c r="J3" s="10">
        <v>45994</v>
      </c>
      <c r="K3" s="22">
        <f>IF(B3="","", _xlfn.XLOOKUP('2 - Sales Pipeline'!D3,Stages_List[Sales Pipeline Stages], Stages_List[Probability %]))</f>
        <v>0.25</v>
      </c>
      <c r="L3" s="23">
        <f t="shared" ref="L3:L9" si="0">IFERROR(M3 * K3, "")</f>
        <v>1250</v>
      </c>
      <c r="M3" s="6">
        <v>5000</v>
      </c>
      <c r="N3" s="12">
        <v>46058</v>
      </c>
      <c r="S3" s="1">
        <v>1</v>
      </c>
    </row>
    <row r="4" spans="2:19" ht="15.75" customHeight="1" x14ac:dyDescent="0.15">
      <c r="B4" s="1" t="s">
        <v>72</v>
      </c>
      <c r="C4" s="1" t="str">
        <f ca="1">IF(B4="","", _xlfn.XLOOKUP(B4, '0 - Setup (Lists)'!M:M, '0 - Setup (Lists)'!N:N))</f>
        <v>Marcus Bennett</v>
      </c>
      <c r="D4" s="1" t="s">
        <v>31</v>
      </c>
      <c r="E4" s="1" t="s">
        <v>158</v>
      </c>
      <c r="F4" s="1" t="s">
        <v>159</v>
      </c>
      <c r="G4" s="6" t="s">
        <v>8</v>
      </c>
      <c r="H4" s="6" t="s">
        <v>160</v>
      </c>
      <c r="I4" s="10">
        <v>46039</v>
      </c>
      <c r="J4" s="10">
        <v>45981</v>
      </c>
      <c r="K4" s="22">
        <f>IF(B4="","", _xlfn.XLOOKUP('2 - Sales Pipeline'!D4,Stages_List[Sales Pipeline Stages], Stages_List[Probability %]))</f>
        <v>0</v>
      </c>
      <c r="L4" s="23">
        <f t="shared" si="0"/>
        <v>0</v>
      </c>
      <c r="M4" s="6">
        <v>6000</v>
      </c>
      <c r="N4" s="12">
        <v>46063</v>
      </c>
      <c r="S4" s="1">
        <v>2</v>
      </c>
    </row>
    <row r="5" spans="2:19" ht="15.75" customHeight="1" x14ac:dyDescent="0.15">
      <c r="B5" s="1" t="s">
        <v>84</v>
      </c>
      <c r="C5" s="1" t="str">
        <f ca="1">IF(B5="","", _xlfn.XLOOKUP(B5, '0 - Setup (Lists)'!M:M, '0 - Setup (Lists)'!N:N))</f>
        <v>Daniel Rodriguez</v>
      </c>
      <c r="D5" s="1" t="s">
        <v>16</v>
      </c>
      <c r="E5" s="1" t="s">
        <v>161</v>
      </c>
      <c r="F5" s="1" t="s">
        <v>162</v>
      </c>
      <c r="G5" s="6" t="s">
        <v>8</v>
      </c>
      <c r="H5" s="6" t="s">
        <v>163</v>
      </c>
      <c r="I5" s="10">
        <v>46043</v>
      </c>
      <c r="J5" s="10">
        <v>46014</v>
      </c>
      <c r="K5" s="22">
        <f>IF(B5="","", _xlfn.XLOOKUP('2 - Sales Pipeline'!D5,Stages_List[Sales Pipeline Stages], Stages_List[Probability %]))</f>
        <v>0.5</v>
      </c>
      <c r="L5" s="23">
        <f t="shared" si="0"/>
        <v>2000</v>
      </c>
      <c r="M5" s="6">
        <v>4000</v>
      </c>
      <c r="N5" s="12">
        <v>46068</v>
      </c>
      <c r="S5" s="1">
        <v>3</v>
      </c>
    </row>
    <row r="6" spans="2:19" ht="15.75" customHeight="1" x14ac:dyDescent="0.15">
      <c r="B6" s="1" t="s">
        <v>102</v>
      </c>
      <c r="C6" s="1" t="str">
        <f ca="1">IF(B6="","", _xlfn.XLOOKUP(B6, '0 - Setup (Lists)'!M:M, '0 - Setup (Lists)'!N:N))</f>
        <v>Isabella Rossi</v>
      </c>
      <c r="D6" s="1" t="s">
        <v>26</v>
      </c>
      <c r="E6" s="1" t="s">
        <v>164</v>
      </c>
      <c r="F6" s="1" t="s">
        <v>165</v>
      </c>
      <c r="G6" s="6" t="s">
        <v>8</v>
      </c>
      <c r="H6" s="6" t="s">
        <v>166</v>
      </c>
      <c r="I6" s="10">
        <v>46050</v>
      </c>
      <c r="J6" s="10">
        <v>45973</v>
      </c>
      <c r="K6" s="22">
        <f>IF(B6="","", _xlfn.XLOOKUP('2 - Sales Pipeline'!D6,Stages_List[Sales Pipeline Stages], Stages_List[Probability %]))</f>
        <v>1</v>
      </c>
      <c r="L6" s="23">
        <f t="shared" si="0"/>
        <v>3500</v>
      </c>
      <c r="M6" s="6">
        <v>3500</v>
      </c>
      <c r="N6" s="12">
        <v>46009</v>
      </c>
      <c r="S6" s="1">
        <v>4</v>
      </c>
    </row>
    <row r="7" spans="2:19" ht="15.75" customHeight="1" x14ac:dyDescent="0.15">
      <c r="B7" s="1" t="s">
        <v>114</v>
      </c>
      <c r="C7" s="1" t="str">
        <f ca="1">IF(B7="","", _xlfn.XLOOKUP(B7, '0 - Setup (Lists)'!M:M, '0 - Setup (Lists)'!N:N))</f>
        <v>Maya Singh</v>
      </c>
      <c r="D7" s="1" t="s">
        <v>26</v>
      </c>
      <c r="E7" s="1" t="s">
        <v>167</v>
      </c>
      <c r="F7" s="1" t="s">
        <v>168</v>
      </c>
      <c r="G7" s="6" t="s">
        <v>8</v>
      </c>
      <c r="H7" s="6" t="s">
        <v>169</v>
      </c>
      <c r="I7" s="10">
        <v>46052</v>
      </c>
      <c r="J7" s="10">
        <v>45979</v>
      </c>
      <c r="K7" s="22">
        <f>IF(B7="","", _xlfn.XLOOKUP('2 - Sales Pipeline'!D7,Stages_List[Sales Pipeline Stages], Stages_List[Probability %]))</f>
        <v>1</v>
      </c>
      <c r="L7" s="23">
        <f t="shared" si="0"/>
        <v>6000</v>
      </c>
      <c r="M7" s="6">
        <v>6000</v>
      </c>
      <c r="N7" s="12">
        <v>45989</v>
      </c>
      <c r="S7" s="1">
        <v>5</v>
      </c>
    </row>
    <row r="8" spans="2:19" ht="15.75" customHeight="1" x14ac:dyDescent="0.15">
      <c r="B8" s="1" t="s">
        <v>132</v>
      </c>
      <c r="C8" s="1" t="str">
        <f ca="1">IF(B8="","", _xlfn.XLOOKUP(B8, '0 - Setup (Lists)'!M:M, '0 - Setup (Lists)'!N:N))</f>
        <v>Jackson Lee</v>
      </c>
      <c r="D8" s="1" t="s">
        <v>31</v>
      </c>
      <c r="E8" s="1" t="s">
        <v>170</v>
      </c>
      <c r="F8" s="1" t="s">
        <v>168</v>
      </c>
      <c r="G8" s="6" t="s">
        <v>8</v>
      </c>
      <c r="H8" s="6" t="s">
        <v>171</v>
      </c>
      <c r="I8" s="10">
        <v>46051</v>
      </c>
      <c r="J8" s="10">
        <v>45980</v>
      </c>
      <c r="K8" s="22">
        <f>IF(B8="","", _xlfn.XLOOKUP('2 - Sales Pipeline'!D8,Stages_List[Sales Pipeline Stages], Stages_List[Probability %]))</f>
        <v>0</v>
      </c>
      <c r="L8" s="23">
        <f t="shared" si="0"/>
        <v>0</v>
      </c>
      <c r="M8" s="6">
        <v>5000</v>
      </c>
      <c r="N8" s="12">
        <v>46071</v>
      </c>
      <c r="S8" s="1">
        <v>6</v>
      </c>
    </row>
    <row r="9" spans="2:19" ht="15.75" customHeight="1" x14ac:dyDescent="0.15">
      <c r="B9" s="1" t="s">
        <v>138</v>
      </c>
      <c r="C9" s="1" t="str">
        <f ca="1">IF(B9="","", _xlfn.XLOOKUP(B9, '0 - Setup (Lists)'!M:M, '0 - Setup (Lists)'!N:N))</f>
        <v>Nina Kapoor</v>
      </c>
      <c r="D9" s="1" t="s">
        <v>26</v>
      </c>
      <c r="E9" s="1" t="s">
        <v>172</v>
      </c>
      <c r="F9" s="1" t="s">
        <v>173</v>
      </c>
      <c r="G9" s="6" t="s">
        <v>8</v>
      </c>
      <c r="H9" s="6" t="s">
        <v>157</v>
      </c>
      <c r="I9" s="10">
        <v>46053</v>
      </c>
      <c r="J9" s="10">
        <v>45952</v>
      </c>
      <c r="K9" s="22">
        <f>IF(B9="","", _xlfn.XLOOKUP('2 - Sales Pipeline'!D9,Stages_List[Sales Pipeline Stages], Stages_List[Probability %]))</f>
        <v>1</v>
      </c>
      <c r="L9" s="23">
        <f t="shared" si="0"/>
        <v>4500</v>
      </c>
      <c r="M9" s="6">
        <v>4500</v>
      </c>
      <c r="N9" s="12">
        <v>45961</v>
      </c>
      <c r="S9" s="1">
        <v>7</v>
      </c>
    </row>
    <row r="19" spans="3:12" ht="15.75" customHeight="1" x14ac:dyDescent="0.15">
      <c r="C19" s="1"/>
      <c r="K19" s="4"/>
      <c r="L19" s="6"/>
    </row>
    <row r="20" spans="3:12" ht="15.75" customHeight="1" x14ac:dyDescent="0.15">
      <c r="L20" s="6"/>
    </row>
    <row r="21" spans="3:12" ht="15.75" customHeight="1" x14ac:dyDescent="0.15">
      <c r="L21" s="6"/>
    </row>
    <row r="22" spans="3:12" ht="15.75" customHeight="1" x14ac:dyDescent="0.15">
      <c r="L22" s="6"/>
    </row>
    <row r="23" spans="3:12" ht="15.75" customHeight="1" x14ac:dyDescent="0.15">
      <c r="L23" s="6"/>
    </row>
    <row r="24" spans="3:12" ht="15.75" customHeight="1" x14ac:dyDescent="0.15">
      <c r="L24" s="6"/>
    </row>
    <row r="25" spans="3:12" ht="15.75" customHeight="1" x14ac:dyDescent="0.15">
      <c r="L25" s="6"/>
    </row>
  </sheetData>
  <conditionalFormatting sqref="D3:D9">
    <cfRule type="cellIs" dxfId="8" priority="1" operator="equal">
      <formula>"Prospecting"</formula>
    </cfRule>
    <cfRule type="cellIs" dxfId="7" priority="2" operator="equal">
      <formula>"Qualification/Needs Assessment"</formula>
    </cfRule>
    <cfRule type="cellIs" dxfId="6" priority="3" operator="equal">
      <formula>"Proposal/Demo"</formula>
    </cfRule>
    <cfRule type="cellIs" dxfId="5" priority="4" operator="equal">
      <formula>"Proposal Sent"</formula>
    </cfRule>
    <cfRule type="cellIs" dxfId="4" priority="5" operator="equal">
      <formula>"Negotiation"</formula>
    </cfRule>
    <cfRule type="cellIs" dxfId="3" priority="6" operator="equal">
      <formula>"Closed Won"</formula>
    </cfRule>
    <cfRule type="cellIs" dxfId="2" priority="7" operator="equal">
      <formula>"Closed Lost"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00"/>
    <outlinePr summaryBelow="0" summaryRight="0"/>
  </sheetPr>
  <dimension ref="A1:AB26"/>
  <sheetViews>
    <sheetView workbookViewId="0">
      <pane ySplit="2" topLeftCell="A3" activePane="bottomLeft" state="frozen"/>
      <selection pane="bottomLeft" activeCell="H30" sqref="H30"/>
    </sheetView>
  </sheetViews>
  <sheetFormatPr baseColWidth="10" defaultColWidth="12.6640625" defaultRowHeight="15.75" customHeight="1" x14ac:dyDescent="0.15"/>
  <cols>
    <col min="1" max="1" width="6.1640625" customWidth="1"/>
    <col min="2" max="2" width="10.33203125" customWidth="1"/>
    <col min="3" max="3" width="14.6640625" customWidth="1"/>
    <col min="4" max="4" width="15.6640625" customWidth="1"/>
    <col min="5" max="5" width="18.33203125" customWidth="1"/>
    <col min="6" max="6" width="23" customWidth="1"/>
    <col min="7" max="7" width="38.5" customWidth="1"/>
    <col min="8" max="8" width="22.83203125" customWidth="1"/>
    <col min="9" max="9" width="15.6640625" customWidth="1"/>
    <col min="10" max="10" width="16.1640625" customWidth="1"/>
  </cols>
  <sheetData>
    <row r="1" spans="1:28" ht="15.75" customHeight="1" x14ac:dyDescent="0.15">
      <c r="B1" s="13"/>
      <c r="C1" s="13"/>
      <c r="E1" s="14"/>
      <c r="F1" s="13"/>
      <c r="G1" s="13"/>
      <c r="H1" s="13"/>
      <c r="I1" s="14"/>
      <c r="J1" s="13"/>
    </row>
    <row r="2" spans="1:28" ht="15.75" customHeight="1" x14ac:dyDescent="0.15">
      <c r="A2" s="2"/>
      <c r="B2" s="24" t="s">
        <v>45</v>
      </c>
      <c r="C2" s="24" t="s">
        <v>144</v>
      </c>
      <c r="D2" s="24" t="s">
        <v>146</v>
      </c>
      <c r="E2" s="24" t="s">
        <v>174</v>
      </c>
      <c r="F2" s="24" t="s">
        <v>175</v>
      </c>
      <c r="G2" s="24" t="s">
        <v>176</v>
      </c>
      <c r="H2" s="24" t="s">
        <v>177</v>
      </c>
      <c r="I2" s="24" t="s">
        <v>178</v>
      </c>
      <c r="J2" s="24" t="s">
        <v>179</v>
      </c>
      <c r="K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5.75" customHeight="1" x14ac:dyDescent="0.15">
      <c r="B3" s="13" t="s">
        <v>54</v>
      </c>
      <c r="C3" s="13" t="str">
        <f ca="1">IF(B3="","", _xlfn.XLOOKUP(B3, '0 - Setup (Lists)'!M:M, '0 - Setup (Lists)'!N:N))</f>
        <v>Alice Chen</v>
      </c>
      <c r="D3" s="2"/>
      <c r="E3" s="15">
        <v>45936</v>
      </c>
      <c r="F3" s="13" t="s">
        <v>36</v>
      </c>
      <c r="G3" s="13" t="s">
        <v>180</v>
      </c>
      <c r="H3" s="13" t="s">
        <v>181</v>
      </c>
      <c r="I3" s="15">
        <v>46032</v>
      </c>
      <c r="J3" s="13" t="str">
        <f ca="1">IF(tblActivityTimeline[[#This Row],[Follow-Up Date]]="","",
     IF(tblActivityTimeline[[#This Row],[Follow-Up Date]] &lt; TODAY(),"Overdue","Good")
  )</f>
        <v>Good</v>
      </c>
    </row>
    <row r="4" spans="1:28" ht="15.75" customHeight="1" x14ac:dyDescent="0.15">
      <c r="B4" s="13" t="s">
        <v>54</v>
      </c>
      <c r="C4" s="13" t="str">
        <f ca="1">IF(B4="","", _xlfn.XLOOKUP(B4, '0 - Setup (Lists)'!M:M, '0 - Setup (Lists)'!N:N))</f>
        <v>Alice Chen</v>
      </c>
      <c r="D4" s="2"/>
      <c r="E4" s="15">
        <v>45938</v>
      </c>
      <c r="F4" s="13" t="s">
        <v>14</v>
      </c>
      <c r="G4" s="13" t="s">
        <v>182</v>
      </c>
      <c r="H4" s="13" t="s">
        <v>183</v>
      </c>
      <c r="I4" s="15">
        <v>46034</v>
      </c>
      <c r="J4" s="1" t="str">
        <f ca="1">IF(tblActivityTimeline[[#This Row],[Follow-Up Date]]="","",
     IF(tblActivityTimeline[[#This Row],[Follow-Up Date]] &lt; TODAY(),"Overdue","Good")
  )</f>
        <v>Good</v>
      </c>
    </row>
    <row r="5" spans="1:28" ht="15.75" customHeight="1" x14ac:dyDescent="0.15">
      <c r="B5" s="13" t="s">
        <v>60</v>
      </c>
      <c r="C5" s="13" t="str">
        <f ca="1">IF(B5="","", _xlfn.XLOOKUP(B5, '0 - Setup (Lists)'!M:M, '0 - Setup (Lists)'!N:N))</f>
        <v>Ethan Park</v>
      </c>
      <c r="D5" s="2"/>
      <c r="E5" s="15">
        <v>45940</v>
      </c>
      <c r="F5" s="13" t="s">
        <v>14</v>
      </c>
      <c r="G5" s="13" t="s">
        <v>184</v>
      </c>
      <c r="H5" s="13" t="s">
        <v>185</v>
      </c>
      <c r="I5" s="15">
        <v>46036</v>
      </c>
      <c r="J5" s="13" t="str">
        <f ca="1">IF(tblActivityTimeline[[#This Row],[Follow-Up Date]]="","",
     IF(tblActivityTimeline[[#This Row],[Follow-Up Date]] &lt; TODAY(),"Overdue","Good")
  )</f>
        <v>Good</v>
      </c>
    </row>
    <row r="6" spans="1:28" ht="15.75" customHeight="1" x14ac:dyDescent="0.15">
      <c r="B6" s="13" t="s">
        <v>66</v>
      </c>
      <c r="C6" s="13" t="str">
        <f ca="1">IF(B6="","", _xlfn.XLOOKUP(B6, '0 - Setup (Lists)'!M:M, '0 - Setup (Lists)'!N:N))</f>
        <v>Emma Brooks</v>
      </c>
      <c r="D6" s="2"/>
      <c r="E6" s="15">
        <v>45943</v>
      </c>
      <c r="F6" s="13" t="s">
        <v>9</v>
      </c>
      <c r="G6" s="13" t="s">
        <v>186</v>
      </c>
      <c r="H6" s="13" t="s">
        <v>187</v>
      </c>
      <c r="I6" s="15">
        <v>46037</v>
      </c>
      <c r="J6" s="13" t="str">
        <f ca="1">IF(tblActivityTimeline[[#This Row],[Follow-Up Date]]="","",
     IF(tblActivityTimeline[[#This Row],[Follow-Up Date]] &lt; TODAY(),"Overdue","Good")
  )</f>
        <v>Good</v>
      </c>
    </row>
    <row r="7" spans="1:28" ht="15.75" customHeight="1" x14ac:dyDescent="0.15">
      <c r="B7" s="13" t="s">
        <v>66</v>
      </c>
      <c r="C7" s="13" t="str">
        <f ca="1">IF(B7="","", _xlfn.XLOOKUP(B7, '0 - Setup (Lists)'!M:M, '0 - Setup (Lists)'!N:N))</f>
        <v>Emma Brooks</v>
      </c>
      <c r="D7" s="2"/>
      <c r="E7" s="15">
        <v>45945</v>
      </c>
      <c r="F7" s="13" t="s">
        <v>14</v>
      </c>
      <c r="G7" s="13" t="s">
        <v>188</v>
      </c>
      <c r="H7" s="13" t="s">
        <v>189</v>
      </c>
      <c r="I7" s="15">
        <v>46039</v>
      </c>
      <c r="J7" s="13" t="str">
        <f ca="1">IF(tblActivityTimeline[[#This Row],[Follow-Up Date]]="","",
     IF(tblActivityTimeline[[#This Row],[Follow-Up Date]] &lt; TODAY(),"Overdue","Good")
  )</f>
        <v>Good</v>
      </c>
    </row>
    <row r="8" spans="1:28" ht="15.75" customHeight="1" x14ac:dyDescent="0.15">
      <c r="B8" s="13" t="s">
        <v>72</v>
      </c>
      <c r="C8" s="13" t="str">
        <f ca="1">IF(B8="","", _xlfn.XLOOKUP(B8, '0 - Setup (Lists)'!M:M, '0 - Setup (Lists)'!N:N))</f>
        <v>Marcus Bennett</v>
      </c>
      <c r="D8" s="2"/>
      <c r="E8" s="15">
        <v>45947</v>
      </c>
      <c r="F8" s="13" t="s">
        <v>19</v>
      </c>
      <c r="G8" s="13" t="s">
        <v>190</v>
      </c>
      <c r="H8" s="13" t="s">
        <v>160</v>
      </c>
      <c r="I8" s="15">
        <v>46039</v>
      </c>
      <c r="J8" s="13" t="str">
        <f ca="1">IF(tblActivityTimeline[[#This Row],[Follow-Up Date]]="","",
     IF(tblActivityTimeline[[#This Row],[Follow-Up Date]] &lt; TODAY(),"Overdue","Good")
  )</f>
        <v>Good</v>
      </c>
    </row>
    <row r="9" spans="1:28" ht="15.75" customHeight="1" x14ac:dyDescent="0.15">
      <c r="B9" s="13" t="s">
        <v>78</v>
      </c>
      <c r="C9" s="13" t="str">
        <f ca="1">IF(B9="","", _xlfn.XLOOKUP(B9, '0 - Setup (Lists)'!M:M, '0 - Setup (Lists)'!N:N))</f>
        <v>Chloe Nguyen</v>
      </c>
      <c r="D9" s="2"/>
      <c r="E9" s="15">
        <v>45950</v>
      </c>
      <c r="F9" s="13" t="s">
        <v>36</v>
      </c>
      <c r="G9" s="13" t="s">
        <v>191</v>
      </c>
      <c r="H9" s="13" t="s">
        <v>192</v>
      </c>
      <c r="I9" s="15">
        <v>46040</v>
      </c>
      <c r="J9" s="13" t="str">
        <f ca="1">IF(tblActivityTimeline[[#This Row],[Follow-Up Date]]="","",
     IF(tblActivityTimeline[[#This Row],[Follow-Up Date]] &lt; TODAY(),"Overdue","Good")
  )</f>
        <v>Good</v>
      </c>
    </row>
    <row r="10" spans="1:28" ht="15.75" customHeight="1" x14ac:dyDescent="0.15">
      <c r="B10" s="13" t="s">
        <v>78</v>
      </c>
      <c r="C10" s="13" t="str">
        <f ca="1">IF(B10="","", _xlfn.XLOOKUP(B10, '0 - Setup (Lists)'!M:M, '0 - Setup (Lists)'!N:N))</f>
        <v>Chloe Nguyen</v>
      </c>
      <c r="D10" s="2"/>
      <c r="E10" s="15">
        <v>45952</v>
      </c>
      <c r="F10" s="13" t="s">
        <v>14</v>
      </c>
      <c r="G10" s="13" t="s">
        <v>193</v>
      </c>
      <c r="H10" s="13" t="s">
        <v>194</v>
      </c>
      <c r="I10" s="15">
        <v>46042</v>
      </c>
      <c r="J10" s="13" t="str">
        <f ca="1">IF(tblActivityTimeline[[#This Row],[Follow-Up Date]]="","",
     IF(tblActivityTimeline[[#This Row],[Follow-Up Date]] &lt; TODAY(),"Overdue","Good")
  )</f>
        <v>Good</v>
      </c>
    </row>
    <row r="11" spans="1:28" ht="15.75" customHeight="1" x14ac:dyDescent="0.15">
      <c r="B11" s="13" t="s">
        <v>84</v>
      </c>
      <c r="C11" s="13" t="str">
        <f ca="1">IF(B11="","", _xlfn.XLOOKUP(B11, '0 - Setup (Lists)'!M:M, '0 - Setup (Lists)'!N:N))</f>
        <v>Daniel Rodriguez</v>
      </c>
      <c r="D11" s="2"/>
      <c r="E11" s="15">
        <v>45954</v>
      </c>
      <c r="F11" s="13" t="s">
        <v>9</v>
      </c>
      <c r="G11" s="13" t="s">
        <v>195</v>
      </c>
      <c r="H11" s="13" t="s">
        <v>196</v>
      </c>
      <c r="I11" s="15">
        <v>46043</v>
      </c>
      <c r="J11" s="13" t="str">
        <f ca="1">IF(tblActivityTimeline[[#This Row],[Follow-Up Date]]="","",
     IF(tblActivityTimeline[[#This Row],[Follow-Up Date]] &lt; TODAY(),"Overdue","Good")
  )</f>
        <v>Good</v>
      </c>
    </row>
    <row r="12" spans="1:28" ht="15.75" customHeight="1" x14ac:dyDescent="0.15">
      <c r="B12" s="13" t="s">
        <v>90</v>
      </c>
      <c r="C12" s="13" t="str">
        <f ca="1">IF(B12="","", _xlfn.XLOOKUP(B12, '0 - Setup (Lists)'!M:M, '0 - Setup (Lists)'!N:N))</f>
        <v>Sophia Patel</v>
      </c>
      <c r="D12" s="2"/>
      <c r="E12" s="16">
        <v>45957</v>
      </c>
      <c r="F12" s="13" t="s">
        <v>9</v>
      </c>
      <c r="G12" s="13" t="s">
        <v>197</v>
      </c>
      <c r="H12" s="13" t="s">
        <v>198</v>
      </c>
      <c r="I12" s="16">
        <v>46058</v>
      </c>
      <c r="J12" s="13" t="str">
        <f ca="1">IF(tblActivityTimeline[[#This Row],[Follow-Up Date]]="","",
     IF(tblActivityTimeline[[#This Row],[Follow-Up Date]] &lt; TODAY(),"Overdue","Good")
  )</f>
        <v>Good</v>
      </c>
    </row>
    <row r="13" spans="1:28" ht="15.75" customHeight="1" x14ac:dyDescent="0.15">
      <c r="B13" s="13" t="s">
        <v>96</v>
      </c>
      <c r="C13" s="13" t="str">
        <f ca="1">IF(B13="","", _xlfn.XLOOKUP(B13, '0 - Setup (Lists)'!M:M, '0 - Setup (Lists)'!N:N))</f>
        <v>Liam O’Connor</v>
      </c>
      <c r="D13" s="2"/>
      <c r="E13" s="15">
        <v>45959</v>
      </c>
      <c r="F13" s="13" t="s">
        <v>14</v>
      </c>
      <c r="G13" s="13" t="s">
        <v>199</v>
      </c>
      <c r="H13" s="13" t="s">
        <v>200</v>
      </c>
      <c r="I13" s="15">
        <v>46046</v>
      </c>
      <c r="J13" s="13" t="str">
        <f ca="1">IF(tblActivityTimeline[[#This Row],[Follow-Up Date]]="","",
     IF(tblActivityTimeline[[#This Row],[Follow-Up Date]] &lt; TODAY(),"Overdue","Good")
  )</f>
        <v>Good</v>
      </c>
    </row>
    <row r="14" spans="1:28" ht="15.75" customHeight="1" x14ac:dyDescent="0.15">
      <c r="B14" s="13" t="s">
        <v>102</v>
      </c>
      <c r="C14" s="13" t="str">
        <f ca="1">IF(B14="","", _xlfn.XLOOKUP(B14, '0 - Setup (Lists)'!M:M, '0 - Setup (Lists)'!N:N))</f>
        <v>Isabella Rossi</v>
      </c>
      <c r="D14" s="2"/>
      <c r="E14" s="15">
        <v>45964</v>
      </c>
      <c r="F14" s="13" t="s">
        <v>9</v>
      </c>
      <c r="G14" s="13" t="s">
        <v>201</v>
      </c>
      <c r="H14" s="13" t="s">
        <v>202</v>
      </c>
      <c r="I14" s="15">
        <v>46047</v>
      </c>
      <c r="J14" s="13" t="str">
        <f ca="1">IF(tblActivityTimeline[[#This Row],[Follow-Up Date]]="","",
     IF(tblActivityTimeline[[#This Row],[Follow-Up Date]] &lt; TODAY(),"Overdue","Good")
  )</f>
        <v>Good</v>
      </c>
    </row>
    <row r="15" spans="1:28" ht="15.75" customHeight="1" x14ac:dyDescent="0.15">
      <c r="B15" s="13" t="s">
        <v>102</v>
      </c>
      <c r="C15" s="13" t="str">
        <f ca="1">IF(B15="","", _xlfn.XLOOKUP(B15, '0 - Setup (Lists)'!M:M, '0 - Setup (Lists)'!N:N))</f>
        <v>Isabella Rossi</v>
      </c>
      <c r="D15" s="2"/>
      <c r="E15" s="15">
        <v>45967</v>
      </c>
      <c r="F15" s="13" t="s">
        <v>14</v>
      </c>
      <c r="G15" s="13" t="s">
        <v>203</v>
      </c>
      <c r="H15" s="13" t="s">
        <v>204</v>
      </c>
      <c r="I15" s="15">
        <v>46050</v>
      </c>
      <c r="J15" s="13" t="str">
        <f ca="1">IF(tblActivityTimeline[[#This Row],[Follow-Up Date]]="","",
     IF(tblActivityTimeline[[#This Row],[Follow-Up Date]] &lt; TODAY(),"Overdue","Good")
  )</f>
        <v>Good</v>
      </c>
    </row>
    <row r="16" spans="1:28" ht="15.75" customHeight="1" x14ac:dyDescent="0.15">
      <c r="B16" s="13" t="s">
        <v>108</v>
      </c>
      <c r="C16" s="13" t="str">
        <f ca="1">IF(B16="","", _xlfn.XLOOKUP(B16, '0 - Setup (Lists)'!M:M, '0 - Setup (Lists)'!N:N))</f>
        <v>Noah Kim</v>
      </c>
      <c r="D16" s="2"/>
      <c r="E16" s="15">
        <v>45970</v>
      </c>
      <c r="F16" s="13" t="s">
        <v>14</v>
      </c>
      <c r="G16" s="13" t="s">
        <v>205</v>
      </c>
      <c r="H16" s="13" t="s">
        <v>183</v>
      </c>
      <c r="I16" s="15">
        <v>46048</v>
      </c>
      <c r="J16" s="13" t="str">
        <f ca="1">IF(tblActivityTimeline[[#This Row],[Follow-Up Date]]="","",
     IF(tblActivityTimeline[[#This Row],[Follow-Up Date]] &lt; TODAY(),"Overdue","Good")
  )</f>
        <v>Good</v>
      </c>
    </row>
    <row r="17" spans="2:10" ht="15.75" customHeight="1" x14ac:dyDescent="0.15">
      <c r="B17" s="13" t="s">
        <v>114</v>
      </c>
      <c r="C17" s="13" t="str">
        <f ca="1">IF(B17="","", _xlfn.XLOOKUP(B17, '0 - Setup (Lists)'!M:M, '0 - Setup (Lists)'!N:N))</f>
        <v>Maya Singh</v>
      </c>
      <c r="D17" s="2"/>
      <c r="E17" s="15">
        <v>45973</v>
      </c>
      <c r="F17" s="13" t="s">
        <v>19</v>
      </c>
      <c r="G17" s="13" t="s">
        <v>206</v>
      </c>
      <c r="H17" s="13" t="s">
        <v>207</v>
      </c>
      <c r="I17" s="15">
        <v>46050</v>
      </c>
      <c r="J17" s="13" t="str">
        <f ca="1">IF(tblActivityTimeline[[#This Row],[Follow-Up Date]]="","",
     IF(tblActivityTimeline[[#This Row],[Follow-Up Date]] &lt; TODAY(),"Overdue","Good")
  )</f>
        <v>Good</v>
      </c>
    </row>
    <row r="18" spans="2:10" ht="15.75" customHeight="1" x14ac:dyDescent="0.15">
      <c r="B18" s="13" t="s">
        <v>120</v>
      </c>
      <c r="C18" s="13" t="str">
        <f ca="1">IF(B18="","", _xlfn.XLOOKUP(B18, '0 - Setup (Lists)'!M:M, '0 - Setup (Lists)'!N:N))</f>
        <v>Oliver Grant</v>
      </c>
      <c r="D18" s="2"/>
      <c r="E18" s="15">
        <v>45975</v>
      </c>
      <c r="F18" s="13" t="s">
        <v>14</v>
      </c>
      <c r="G18" s="13" t="s">
        <v>208</v>
      </c>
      <c r="H18" s="13" t="s">
        <v>209</v>
      </c>
      <c r="I18" s="15">
        <v>46034</v>
      </c>
      <c r="J18" s="13" t="str">
        <f ca="1">IF(tblActivityTimeline[[#This Row],[Follow-Up Date]]="","",
     IF(tblActivityTimeline[[#This Row],[Follow-Up Date]] &lt; TODAY(),"Overdue","Good")
  )</f>
        <v>Good</v>
      </c>
    </row>
    <row r="19" spans="2:10" ht="15.75" customHeight="1" x14ac:dyDescent="0.15">
      <c r="B19" s="13" t="s">
        <v>126</v>
      </c>
      <c r="C19" s="13" t="str">
        <f ca="1">IF(B19="","", _xlfn.XLOOKUP(B19, '0 - Setup (Lists)'!M:M, '0 - Setup (Lists)'!N:N))</f>
        <v>Ava Martinez</v>
      </c>
      <c r="D19" s="2"/>
      <c r="E19" s="15">
        <v>45978</v>
      </c>
      <c r="F19" s="13" t="s">
        <v>14</v>
      </c>
      <c r="G19" s="13" t="s">
        <v>210</v>
      </c>
      <c r="H19" s="13" t="s">
        <v>211</v>
      </c>
      <c r="I19" s="15">
        <v>46051</v>
      </c>
      <c r="J19" s="13" t="str">
        <f ca="1">IF(tblActivityTimeline[[#This Row],[Follow-Up Date]]="","",
     IF(tblActivityTimeline[[#This Row],[Follow-Up Date]] &lt; TODAY(),"Overdue","Good")
  )</f>
        <v>Good</v>
      </c>
    </row>
    <row r="20" spans="2:10" ht="15.75" customHeight="1" x14ac:dyDescent="0.15">
      <c r="B20" s="13" t="s">
        <v>132</v>
      </c>
      <c r="C20" s="13" t="str">
        <f ca="1">IF(B20="","", _xlfn.XLOOKUP(B20, '0 - Setup (Lists)'!M:M, '0 - Setup (Lists)'!N:N))</f>
        <v>Jackson Lee</v>
      </c>
      <c r="D20" s="2"/>
      <c r="E20" s="15">
        <v>45980</v>
      </c>
      <c r="F20" s="13" t="s">
        <v>9</v>
      </c>
      <c r="G20" s="13" t="s">
        <v>212</v>
      </c>
      <c r="H20" s="13" t="s">
        <v>213</v>
      </c>
      <c r="I20" s="15">
        <v>46051</v>
      </c>
      <c r="J20" s="13" t="str">
        <f ca="1">IF(tblActivityTimeline[[#This Row],[Follow-Up Date]]="","",
     IF(tblActivityTimeline[[#This Row],[Follow-Up Date]] &lt; TODAY(),"Overdue","Good")
  )</f>
        <v>Good</v>
      </c>
    </row>
    <row r="21" spans="2:10" ht="15.75" customHeight="1" x14ac:dyDescent="0.15">
      <c r="B21" s="13" t="s">
        <v>138</v>
      </c>
      <c r="C21" s="13" t="str">
        <f ca="1">IF(B21="","", _xlfn.XLOOKUP(B21, '0 - Setup (Lists)'!M:M, '0 - Setup (Lists)'!N:N))</f>
        <v>Nina Kapoor</v>
      </c>
      <c r="D21" s="2"/>
      <c r="E21" s="15">
        <v>45983</v>
      </c>
      <c r="F21" s="13" t="s">
        <v>9</v>
      </c>
      <c r="G21" s="13" t="s">
        <v>119</v>
      </c>
      <c r="H21" s="13" t="s">
        <v>157</v>
      </c>
      <c r="I21" s="15">
        <v>46053</v>
      </c>
      <c r="J21" s="13" t="str">
        <f ca="1">IF(tblActivityTimeline[[#This Row],[Follow-Up Date]]="","",
     IF(tblActivityTimeline[[#This Row],[Follow-Up Date]] &lt; TODAY(),"Overdue","Good")
  )</f>
        <v>Good</v>
      </c>
    </row>
    <row r="22" spans="2:10" ht="15.75" customHeight="1" x14ac:dyDescent="0.15">
      <c r="B22" s="13" t="s">
        <v>72</v>
      </c>
      <c r="C22" s="13" t="str">
        <f ca="1">IF(B22="","", _xlfn.XLOOKUP(B22, '0 - Setup (Lists)'!M:M, '0 - Setup (Lists)'!N:N))</f>
        <v>Marcus Bennett</v>
      </c>
      <c r="D22" s="2"/>
      <c r="E22" s="15">
        <v>45986</v>
      </c>
      <c r="F22" s="13" t="s">
        <v>14</v>
      </c>
      <c r="G22" s="1" t="s">
        <v>214</v>
      </c>
      <c r="H22" s="13"/>
      <c r="I22" s="15"/>
      <c r="J22" s="13" t="str">
        <f ca="1">IF(tblActivityTimeline[[#This Row],[Follow-Up Date]]="","",
     IF(tblActivityTimeline[[#This Row],[Follow-Up Date]] &lt; TODAY(),"Overdue","Good")
  )</f>
        <v/>
      </c>
    </row>
    <row r="23" spans="2:10" ht="15.75" customHeight="1" x14ac:dyDescent="0.15">
      <c r="B23" s="13" t="s">
        <v>132</v>
      </c>
      <c r="C23" s="13" t="str">
        <f ca="1">IF(B23="","", _xlfn.XLOOKUP(B23, '0 - Setup (Lists)'!M:M, '0 - Setup (Lists)'!N:N))</f>
        <v>Jackson Lee</v>
      </c>
      <c r="D23" s="2"/>
      <c r="E23" s="15">
        <v>45989</v>
      </c>
      <c r="F23" s="13" t="s">
        <v>9</v>
      </c>
      <c r="G23" s="1" t="s">
        <v>214</v>
      </c>
      <c r="H23" s="13"/>
      <c r="I23" s="15"/>
      <c r="J23" s="13" t="str">
        <f ca="1">IF(tblActivityTimeline[[#This Row],[Follow-Up Date]]="","",
     IF(tblActivityTimeline[[#This Row],[Follow-Up Date]] &lt; TODAY(),"Overdue","Good")
  )</f>
        <v/>
      </c>
    </row>
    <row r="24" spans="2:10" ht="15.75" customHeight="1" x14ac:dyDescent="0.15">
      <c r="B24" s="13" t="s">
        <v>102</v>
      </c>
      <c r="C24" s="13" t="str">
        <f ca="1">IF(B24="","", _xlfn.XLOOKUP(B24, '0 - Setup (Lists)'!M:M, '0 - Setup (Lists)'!N:N))</f>
        <v>Isabella Rossi</v>
      </c>
      <c r="D24" s="2"/>
      <c r="E24" s="15">
        <v>45993</v>
      </c>
      <c r="F24" s="13" t="s">
        <v>14</v>
      </c>
      <c r="G24" s="1" t="s">
        <v>215</v>
      </c>
      <c r="H24" s="13"/>
      <c r="I24" s="15"/>
      <c r="J24" s="13" t="str">
        <f ca="1">IF(tblActivityTimeline[[#This Row],[Follow-Up Date]]="","",
     IF(tblActivityTimeline[[#This Row],[Follow-Up Date]] &lt; TODAY(),"Overdue","Good")
  )</f>
        <v/>
      </c>
    </row>
    <row r="25" spans="2:10" ht="15.75" customHeight="1" x14ac:dyDescent="0.15">
      <c r="B25" s="13" t="s">
        <v>114</v>
      </c>
      <c r="C25" s="13" t="str">
        <f ca="1">IF(B25="","", _xlfn.XLOOKUP(B25, '0 - Setup (Lists)'!M:M, '0 - Setup (Lists)'!N:N))</f>
        <v>Maya Singh</v>
      </c>
      <c r="D25" s="2"/>
      <c r="E25" s="15">
        <v>45996</v>
      </c>
      <c r="F25" s="13" t="s">
        <v>19</v>
      </c>
      <c r="G25" s="1" t="s">
        <v>215</v>
      </c>
      <c r="H25" s="13"/>
      <c r="I25" s="15"/>
      <c r="J25" s="13" t="str">
        <f ca="1">IF(tblActivityTimeline[[#This Row],[Follow-Up Date]]="","",
     IF(tblActivityTimeline[[#This Row],[Follow-Up Date]] &lt; TODAY(),"Overdue","Good")
  )</f>
        <v/>
      </c>
    </row>
    <row r="26" spans="2:10" ht="15.75" customHeight="1" x14ac:dyDescent="0.15">
      <c r="B26" s="13" t="s">
        <v>138</v>
      </c>
      <c r="C26" s="13" t="str">
        <f ca="1">IF(B26="","", _xlfn.XLOOKUP(B26, '0 - Setup (Lists)'!M:M, '0 - Setup (Lists)'!N:N))</f>
        <v>Nina Kapoor</v>
      </c>
      <c r="D26" s="2"/>
      <c r="E26" s="15">
        <v>45999</v>
      </c>
      <c r="F26" s="13" t="s">
        <v>24</v>
      </c>
      <c r="G26" s="1" t="s">
        <v>215</v>
      </c>
      <c r="H26" s="13"/>
      <c r="I26" s="15"/>
      <c r="J26" s="13" t="str">
        <f ca="1">IF(tblActivityTimeline[[#This Row],[Follow-Up Date]]="","",
     IF(tblActivityTimeline[[#This Row],[Follow-Up Date]] &lt; TODAY(),"Overdue","Good")
  )</f>
        <v/>
      </c>
    </row>
  </sheetData>
  <conditionalFormatting sqref="J3:J26">
    <cfRule type="cellIs" dxfId="1" priority="1" operator="equal">
      <formula>"Good"</formula>
    </cfRule>
    <cfRule type="cellIs" dxfId="0" priority="2" operator="equal">
      <formula>"Overdue"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40"/>
  <sheetViews>
    <sheetView showGridLines="0" workbookViewId="0">
      <selection activeCell="D23" sqref="D23"/>
    </sheetView>
  </sheetViews>
  <sheetFormatPr baseColWidth="10" defaultColWidth="12.6640625" defaultRowHeight="15.75" customHeight="1" x14ac:dyDescent="0.15"/>
  <cols>
    <col min="1" max="1" width="29" customWidth="1"/>
    <col min="2" max="2" width="23.6640625" customWidth="1"/>
    <col min="3" max="3" width="5.1640625" customWidth="1"/>
    <col min="4" max="4" width="25" customWidth="1"/>
    <col min="9" max="9" width="16.1640625" customWidth="1"/>
  </cols>
  <sheetData>
    <row r="1" spans="1:6" ht="15.75" customHeight="1" x14ac:dyDescent="0.15">
      <c r="A1" s="35" t="s">
        <v>216</v>
      </c>
      <c r="B1" s="33"/>
      <c r="D1" s="1" t="s">
        <v>145</v>
      </c>
      <c r="E1" s="1" t="s">
        <v>217</v>
      </c>
      <c r="F1" s="1" t="s">
        <v>152</v>
      </c>
    </row>
    <row r="2" spans="1:6" ht="15.75" customHeight="1" x14ac:dyDescent="0.15">
      <c r="A2" s="54" t="s">
        <v>145</v>
      </c>
      <c r="B2" t="s">
        <v>218</v>
      </c>
      <c r="D2" s="1" t="str">
        <f>A3</f>
        <v>Proposal/Demo</v>
      </c>
      <c r="E2" s="1">
        <f>(MAX($F$2:$F$5) - F2) / 2</f>
        <v>1</v>
      </c>
      <c r="F2" s="1">
        <f>B3</f>
        <v>1</v>
      </c>
    </row>
    <row r="3" spans="1:6" ht="15.75" customHeight="1" x14ac:dyDescent="0.15">
      <c r="A3" t="s">
        <v>16</v>
      </c>
      <c r="B3" s="55">
        <v>1</v>
      </c>
      <c r="D3" s="1" t="str">
        <f>A4</f>
        <v>Qualification/Needs Assessment</v>
      </c>
      <c r="E3" s="1">
        <f>(MAX($F$2:$F$5) - F3) / 2</f>
        <v>1</v>
      </c>
      <c r="F3" s="1">
        <f>B4</f>
        <v>1</v>
      </c>
    </row>
    <row r="4" spans="1:6" ht="15.75" customHeight="1" x14ac:dyDescent="0.15">
      <c r="A4" t="s">
        <v>11</v>
      </c>
      <c r="B4" s="55">
        <v>1</v>
      </c>
      <c r="D4" s="1" t="str">
        <f>A5</f>
        <v>Closed Lost</v>
      </c>
      <c r="E4" s="1">
        <f>(MAX($F$2:$F$5) - F4) / 2</f>
        <v>0.5</v>
      </c>
      <c r="F4" s="1">
        <f>B5</f>
        <v>2</v>
      </c>
    </row>
    <row r="5" spans="1:6" ht="15.75" customHeight="1" x14ac:dyDescent="0.15">
      <c r="A5" t="s">
        <v>31</v>
      </c>
      <c r="B5" s="55">
        <v>2</v>
      </c>
      <c r="D5" s="1" t="str">
        <f>A6</f>
        <v>Closed Won</v>
      </c>
      <c r="E5" s="1">
        <f>(MAX($F$2:$F$5) - F5) / 2</f>
        <v>0</v>
      </c>
      <c r="F5" s="1">
        <f>B6</f>
        <v>3</v>
      </c>
    </row>
    <row r="6" spans="1:6" ht="15.75" customHeight="1" x14ac:dyDescent="0.15">
      <c r="A6" t="s">
        <v>26</v>
      </c>
      <c r="B6" s="55">
        <v>3</v>
      </c>
    </row>
    <row r="8" spans="1:6" ht="15.75" customHeight="1" x14ac:dyDescent="0.15">
      <c r="A8" s="3" t="s">
        <v>219</v>
      </c>
      <c r="D8" s="1" t="s">
        <v>145</v>
      </c>
    </row>
    <row r="9" spans="1:6" ht="15.75" customHeight="1" x14ac:dyDescent="0.15">
      <c r="A9" s="54" t="s">
        <v>145</v>
      </c>
      <c r="B9" t="s">
        <v>232</v>
      </c>
      <c r="D9" s="1" t="str">
        <f>A10</f>
        <v>Proposal/Demo</v>
      </c>
      <c r="E9" s="1" t="s">
        <v>217</v>
      </c>
      <c r="F9" s="1" t="s">
        <v>152</v>
      </c>
    </row>
    <row r="10" spans="1:6" ht="15.75" customHeight="1" x14ac:dyDescent="0.15">
      <c r="A10" t="s">
        <v>16</v>
      </c>
      <c r="B10" s="23">
        <v>4000</v>
      </c>
      <c r="D10" s="1" t="str">
        <f>A11</f>
        <v>Qualification/Needs Assessment</v>
      </c>
      <c r="E10" s="1">
        <f>(MAX($F$10:$F$13) - F10) / 2</f>
        <v>5000</v>
      </c>
      <c r="F10" s="6">
        <f>B10</f>
        <v>4000</v>
      </c>
    </row>
    <row r="11" spans="1:6" ht="15.75" customHeight="1" x14ac:dyDescent="0.15">
      <c r="A11" t="s">
        <v>11</v>
      </c>
      <c r="B11" s="23">
        <v>5000</v>
      </c>
      <c r="D11" s="1" t="str">
        <f>A12</f>
        <v>Closed Lost</v>
      </c>
      <c r="E11" s="1">
        <f>(MAX($F$10:$F$13) - F11) / 2</f>
        <v>4500</v>
      </c>
      <c r="F11" s="6">
        <f>B11</f>
        <v>5000</v>
      </c>
    </row>
    <row r="12" spans="1:6" ht="15.75" customHeight="1" x14ac:dyDescent="0.15">
      <c r="A12" t="s">
        <v>31</v>
      </c>
      <c r="B12" s="23">
        <v>11000</v>
      </c>
      <c r="D12" s="1" t="str">
        <f>A13</f>
        <v>Closed Won</v>
      </c>
      <c r="E12" s="1">
        <f>(MAX($F$10:$F$13) - F12) / 2</f>
        <v>1500</v>
      </c>
      <c r="F12" s="6">
        <f>B12</f>
        <v>11000</v>
      </c>
    </row>
    <row r="13" spans="1:6" ht="15.75" customHeight="1" x14ac:dyDescent="0.15">
      <c r="A13" t="s">
        <v>26</v>
      </c>
      <c r="B13" s="23">
        <v>14000</v>
      </c>
      <c r="E13" s="1">
        <f>(MAX($F$10:$F$13) - F13) / 2</f>
        <v>0</v>
      </c>
      <c r="F13" s="6">
        <f>B13</f>
        <v>14000</v>
      </c>
    </row>
    <row r="15" spans="1:6" ht="15.75" customHeight="1" x14ac:dyDescent="0.15">
      <c r="A15" s="36" t="s">
        <v>220</v>
      </c>
      <c r="B15" s="37"/>
    </row>
    <row r="16" spans="1:6" ht="15.75" customHeight="1" x14ac:dyDescent="0.15">
      <c r="A16" s="54" t="s">
        <v>145</v>
      </c>
      <c r="B16" t="s">
        <v>232</v>
      </c>
    </row>
    <row r="17" spans="1:2" ht="15.75" customHeight="1" x14ac:dyDescent="0.15">
      <c r="A17" t="s">
        <v>31</v>
      </c>
      <c r="B17" s="56">
        <v>0.44</v>
      </c>
    </row>
    <row r="18" spans="1:2" ht="15.75" customHeight="1" x14ac:dyDescent="0.15">
      <c r="A18" t="s">
        <v>26</v>
      </c>
      <c r="B18" s="56">
        <v>0.56000000000000005</v>
      </c>
    </row>
    <row r="20" spans="1:2" ht="15.75" customHeight="1" x14ac:dyDescent="0.15">
      <c r="A20" s="54" t="s">
        <v>145</v>
      </c>
      <c r="B20" t="s">
        <v>26</v>
      </c>
    </row>
    <row r="21" spans="1:2" ht="15.75" customHeight="1" x14ac:dyDescent="0.15">
      <c r="A21" s="3" t="s">
        <v>221</v>
      </c>
    </row>
    <row r="22" spans="1:2" ht="15.75" customHeight="1" x14ac:dyDescent="0.15">
      <c r="A22" s="54" t="s">
        <v>153</v>
      </c>
      <c r="B22" t="s">
        <v>232</v>
      </c>
    </row>
    <row r="23" spans="1:2" ht="15.75" customHeight="1" x14ac:dyDescent="0.15">
      <c r="A23" s="57" t="s">
        <v>222</v>
      </c>
      <c r="B23" s="23">
        <v>4500</v>
      </c>
    </row>
    <row r="24" spans="1:2" ht="15.75" customHeight="1" x14ac:dyDescent="0.15">
      <c r="A24" s="57" t="s">
        <v>223</v>
      </c>
      <c r="B24" s="23">
        <v>6000</v>
      </c>
    </row>
    <row r="25" spans="1:2" ht="15.75" customHeight="1" x14ac:dyDescent="0.15">
      <c r="A25" s="57" t="s">
        <v>224</v>
      </c>
      <c r="B25" s="23">
        <v>3500</v>
      </c>
    </row>
    <row r="27" spans="1:2" ht="15.75" customHeight="1" x14ac:dyDescent="0.15">
      <c r="A27" s="1" t="s">
        <v>225</v>
      </c>
    </row>
    <row r="28" spans="1:2" ht="15.75" customHeight="1" x14ac:dyDescent="0.15">
      <c r="A28" s="54" t="s">
        <v>144</v>
      </c>
      <c r="B28" t="s">
        <v>232</v>
      </c>
    </row>
    <row r="29" spans="1:2" ht="15.75" customHeight="1" x14ac:dyDescent="0.15">
      <c r="A29" t="s">
        <v>67</v>
      </c>
      <c r="B29" s="23">
        <v>5000</v>
      </c>
    </row>
    <row r="30" spans="1:2" ht="15.75" customHeight="1" x14ac:dyDescent="0.15">
      <c r="A30" t="s">
        <v>73</v>
      </c>
      <c r="B30" s="23">
        <v>6000</v>
      </c>
    </row>
    <row r="31" spans="1:2" ht="15.75" customHeight="1" x14ac:dyDescent="0.15">
      <c r="A31" t="s">
        <v>85</v>
      </c>
      <c r="B31" s="23">
        <v>4000</v>
      </c>
    </row>
    <row r="32" spans="1:2" ht="15.75" customHeight="1" x14ac:dyDescent="0.15">
      <c r="A32" t="s">
        <v>103</v>
      </c>
      <c r="B32" s="23">
        <v>3500</v>
      </c>
    </row>
    <row r="33" spans="1:4" ht="15.75" customHeight="1" x14ac:dyDescent="0.15">
      <c r="A33" t="s">
        <v>115</v>
      </c>
      <c r="B33" s="23">
        <v>6000</v>
      </c>
    </row>
    <row r="34" spans="1:4" ht="15.75" customHeight="1" x14ac:dyDescent="0.15">
      <c r="A34" t="s">
        <v>133</v>
      </c>
      <c r="B34" s="23">
        <v>5000</v>
      </c>
    </row>
    <row r="35" spans="1:4" ht="15.75" customHeight="1" x14ac:dyDescent="0.15">
      <c r="A35" t="s">
        <v>139</v>
      </c>
      <c r="B35" s="23">
        <v>4500</v>
      </c>
    </row>
    <row r="37" spans="1:4" ht="15.75" customHeight="1" x14ac:dyDescent="0.15">
      <c r="D37" s="17"/>
    </row>
    <row r="39" spans="1:4" ht="13" x14ac:dyDescent="0.15"/>
    <row r="40" spans="1:4" ht="13" x14ac:dyDescent="0.15"/>
  </sheetData>
  <sheetProtection sheet="1" objects="1" scenarios="1"/>
  <mergeCells count="2">
    <mergeCell ref="A1:B1"/>
    <mergeCell ref="A15:B15"/>
  </mergeCells>
  <pageMargins left="0.7" right="0.7" top="0.75" bottom="0.75" header="0.3" footer="0.3"/>
  <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993"/>
  <sheetViews>
    <sheetView zoomScale="116" zoomScaleNormal="100" workbookViewId="0">
      <selection activeCell="K43" sqref="K43"/>
    </sheetView>
  </sheetViews>
  <sheetFormatPr baseColWidth="10" defaultColWidth="12.6640625" defaultRowHeight="15.75" customHeight="1" x14ac:dyDescent="0.15"/>
  <cols>
    <col min="1" max="1" width="3.1640625" style="39" customWidth="1"/>
    <col min="2" max="20" width="11.83203125" style="39" customWidth="1"/>
    <col min="21" max="16384" width="12.6640625" style="39"/>
  </cols>
  <sheetData>
    <row r="1" spans="1:26" ht="13" x14ac:dyDescent="0.15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ht="19" customHeight="1" x14ac:dyDescent="0.15">
      <c r="A2" s="38"/>
      <c r="B2" s="40" t="s">
        <v>233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38"/>
      <c r="V2" s="38"/>
      <c r="W2" s="38"/>
      <c r="X2" s="38"/>
      <c r="Y2" s="38"/>
      <c r="Z2" s="38"/>
    </row>
    <row r="3" spans="1:26" ht="13" x14ac:dyDescent="0.15">
      <c r="A3" s="38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38"/>
      <c r="V3" s="38"/>
      <c r="W3" s="38"/>
      <c r="X3" s="38"/>
      <c r="Y3" s="38"/>
      <c r="Z3" s="38"/>
    </row>
    <row r="4" spans="1:26" ht="28" x14ac:dyDescent="0.3">
      <c r="A4" s="38"/>
      <c r="B4" s="42">
        <f>SUMIFS(
  '2 - Sales Pipeline'!M:M,
  '2 - Sales Pipeline'!D:D, "&lt;&gt;Closed Won",
  '2 - Sales Pipeline'!D:D, "&lt;&gt;Closed Lost"
)</f>
        <v>9000</v>
      </c>
      <c r="C4" s="43"/>
      <c r="D4" s="43"/>
      <c r="E4" s="43"/>
      <c r="F4" s="44"/>
      <c r="G4" s="45">
        <f>SUMIF('2 - Sales Pipeline'!D:D,"Closed Won",'2 - Sales Pipeline'!M:M) /
(
  SUMIF('2 - Sales Pipeline'!D:D,"Closed Won",'2 - Sales Pipeline'!M:M) +
  SUMIF('2 - Sales Pipeline'!D:D,"Closed Lost",'2 - Sales Pipeline'!M:M)
)</f>
        <v>0.56000000000000005</v>
      </c>
      <c r="H4" s="46"/>
      <c r="I4" s="46"/>
      <c r="J4" s="46"/>
      <c r="K4" s="46"/>
      <c r="L4" s="47">
        <f>IFERROR(
  AVERAGEIF(
    '2 - Sales Pipeline'!D:D,
    "Closed Won",
    '2 - Sales Pipeline'!M:M
  ),
0
)</f>
        <v>4666.666666666667</v>
      </c>
      <c r="M4" s="44"/>
      <c r="N4" s="44"/>
      <c r="O4" s="44"/>
      <c r="P4" s="44"/>
      <c r="Q4" s="48">
        <f ca="1">IFERROR(__xludf.DUMMYFUNCTION("IFERROR(COUNTA(UNIQUE(
  FILTER(
    '1 - Customers'!B:B,
    '1 - Customers'!B:B&lt;&gt;"""",
    '1 - Customers'!K:K &gt;= EOMONTH(TODAY(), -1) + 1,
    '1 - Customers'!K:K &lt;= EOMONTH(TODAY(), 0)
  )
)),0)"),4)</f>
        <v>4</v>
      </c>
      <c r="R4" s="44"/>
      <c r="S4" s="44"/>
      <c r="T4" s="44"/>
      <c r="U4" s="38"/>
      <c r="V4" s="38"/>
      <c r="W4" s="38"/>
      <c r="X4" s="38"/>
      <c r="Y4" s="38"/>
      <c r="Z4" s="38"/>
    </row>
    <row r="5" spans="1:26" ht="16" x14ac:dyDescent="0.2">
      <c r="A5" s="38"/>
      <c r="B5" s="49" t="s">
        <v>226</v>
      </c>
      <c r="C5" s="50"/>
      <c r="D5" s="50"/>
      <c r="E5" s="50"/>
      <c r="F5" s="51"/>
      <c r="G5" s="49" t="s">
        <v>227</v>
      </c>
      <c r="H5" s="50"/>
      <c r="I5" s="50"/>
      <c r="J5" s="50"/>
      <c r="K5" s="51"/>
      <c r="L5" s="49" t="s">
        <v>228</v>
      </c>
      <c r="M5" s="50"/>
      <c r="N5" s="50"/>
      <c r="O5" s="50"/>
      <c r="P5" s="51"/>
      <c r="Q5" s="49" t="s">
        <v>229</v>
      </c>
      <c r="R5" s="50"/>
      <c r="S5" s="50"/>
      <c r="T5" s="51"/>
      <c r="U5" s="38"/>
      <c r="V5" s="38"/>
      <c r="W5" s="38"/>
      <c r="X5" s="38"/>
      <c r="Y5" s="38"/>
      <c r="Z5" s="38"/>
    </row>
    <row r="6" spans="1:26" ht="13" x14ac:dyDescent="0.15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ht="13" x14ac:dyDescent="0.15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ht="13" x14ac:dyDescent="0.15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ht="13" x14ac:dyDescent="0.15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 ht="13" x14ac:dyDescent="0.15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ht="13" x14ac:dyDescent="0.15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ht="13" x14ac:dyDescent="0.15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ht="13" x14ac:dyDescent="0.15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ht="13" x14ac:dyDescent="0.15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ht="13" x14ac:dyDescent="0.15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 ht="13" x14ac:dyDescent="0.15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ht="13" x14ac:dyDescent="0.15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 ht="13" x14ac:dyDescent="0.15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ht="13" x14ac:dyDescent="0.15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ht="4.5" customHeight="1" x14ac:dyDescent="0.15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ht="13" x14ac:dyDescent="0.15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ht="13" x14ac:dyDescent="0.15">
      <c r="A22" s="38"/>
      <c r="B22" s="38"/>
      <c r="C22" s="38"/>
      <c r="D22" s="38"/>
      <c r="E22" s="38"/>
      <c r="F22" s="38"/>
      <c r="G22" s="38"/>
      <c r="H22" s="38"/>
      <c r="I22" s="52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ht="13" x14ac:dyDescent="0.15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ht="13" x14ac:dyDescent="0.15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ht="13" x14ac:dyDescent="0.15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53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 ht="13" x14ac:dyDescent="0.15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ht="13" x14ac:dyDescent="0.15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ht="13" x14ac:dyDescent="0.15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ht="13" x14ac:dyDescent="0.15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ht="13" x14ac:dyDescent="0.15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ht="13" x14ac:dyDescent="0.15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ht="13" x14ac:dyDescent="0.15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ht="13" x14ac:dyDescent="0.15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 ht="13" x14ac:dyDescent="0.15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 ht="13" x14ac:dyDescent="0.15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 ht="13" x14ac:dyDescent="0.15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6" ht="13" x14ac:dyDescent="0.15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6" ht="13" x14ac:dyDescent="0.15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ht="13" x14ac:dyDescent="0.15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ht="13" x14ac:dyDescent="0.15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ht="13" x14ac:dyDescent="0.15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ht="13" x14ac:dyDescent="0.15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ht="13" x14ac:dyDescent="0.15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13" x14ac:dyDescent="0.15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ht="13" x14ac:dyDescent="0.15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ht="13" x14ac:dyDescent="0.15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ht="13" x14ac:dyDescent="0.15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ht="13" x14ac:dyDescent="0.15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spans="1:26" ht="13" x14ac:dyDescent="0.15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 ht="13" x14ac:dyDescent="0.15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spans="1:26" ht="13" x14ac:dyDescent="0.15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ht="13" x14ac:dyDescent="0.15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ht="13" x14ac:dyDescent="0.15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ht="13" x14ac:dyDescent="0.15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ht="13" x14ac:dyDescent="0.15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ht="13" x14ac:dyDescent="0.15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ht="13" x14ac:dyDescent="0.15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ht="13" x14ac:dyDescent="0.15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ht="13" x14ac:dyDescent="0.15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ht="13" x14ac:dyDescent="0.15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ht="13" x14ac:dyDescent="0.15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ht="13" x14ac:dyDescent="0.15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ht="13" x14ac:dyDescent="0.15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ht="13" x14ac:dyDescent="0.15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ht="13" x14ac:dyDescent="0.15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ht="13" x14ac:dyDescent="0.15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ht="13" x14ac:dyDescent="0.15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ht="13" x14ac:dyDescent="0.15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ht="13" x14ac:dyDescent="0.15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ht="13" x14ac:dyDescent="0.15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ht="13" x14ac:dyDescent="0.15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ht="13" x14ac:dyDescent="0.15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ht="13" x14ac:dyDescent="0.15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ht="13" x14ac:dyDescent="0.15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ht="13" x14ac:dyDescent="0.15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ht="13" x14ac:dyDescent="0.15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ht="13" x14ac:dyDescent="0.15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ht="13" x14ac:dyDescent="0.15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ht="13" x14ac:dyDescent="0.15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ht="13" x14ac:dyDescent="0.15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ht="13" x14ac:dyDescent="0.15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ht="13" x14ac:dyDescent="0.15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ht="13" x14ac:dyDescent="0.15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ht="13" x14ac:dyDescent="0.15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ht="13" x14ac:dyDescent="0.15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ht="13" x14ac:dyDescent="0.15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ht="13" x14ac:dyDescent="0.15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ht="13" x14ac:dyDescent="0.15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ht="13" x14ac:dyDescent="0.15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ht="13" x14ac:dyDescent="0.15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ht="13" x14ac:dyDescent="0.15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ht="13" x14ac:dyDescent="0.15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ht="13" x14ac:dyDescent="0.15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ht="13" x14ac:dyDescent="0.15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ht="13" x14ac:dyDescent="0.15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ht="13" x14ac:dyDescent="0.15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ht="13" x14ac:dyDescent="0.15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ht="13" x14ac:dyDescent="0.15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ht="13" x14ac:dyDescent="0.15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ht="13" x14ac:dyDescent="0.15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ht="13" x14ac:dyDescent="0.15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ht="13" x14ac:dyDescent="0.15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ht="13" x14ac:dyDescent="0.15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ht="13" x14ac:dyDescent="0.15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ht="13" x14ac:dyDescent="0.15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ht="13" x14ac:dyDescent="0.15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ht="13" x14ac:dyDescent="0.15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ht="13" x14ac:dyDescent="0.15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ht="13" x14ac:dyDescent="0.15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ht="13" x14ac:dyDescent="0.15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ht="13" x14ac:dyDescent="0.15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ht="13" x14ac:dyDescent="0.15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ht="13" x14ac:dyDescent="0.15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ht="13" x14ac:dyDescent="0.15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ht="13" x14ac:dyDescent="0.15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ht="13" x14ac:dyDescent="0.15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ht="13" x14ac:dyDescent="0.15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ht="13" x14ac:dyDescent="0.15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ht="13" x14ac:dyDescent="0.15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ht="13" x14ac:dyDescent="0.15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ht="13" x14ac:dyDescent="0.15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ht="13" x14ac:dyDescent="0.15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ht="13" x14ac:dyDescent="0.15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ht="13" x14ac:dyDescent="0.15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ht="13" x14ac:dyDescent="0.15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ht="13" x14ac:dyDescent="0.15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ht="13" x14ac:dyDescent="0.15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ht="13" x14ac:dyDescent="0.15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ht="13" x14ac:dyDescent="0.15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ht="13" x14ac:dyDescent="0.15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ht="13" x14ac:dyDescent="0.15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ht="13" x14ac:dyDescent="0.15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ht="13" x14ac:dyDescent="0.15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ht="13" x14ac:dyDescent="0.15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ht="13" x14ac:dyDescent="0.15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ht="13" x14ac:dyDescent="0.15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ht="13" x14ac:dyDescent="0.15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ht="13" x14ac:dyDescent="0.15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ht="13" x14ac:dyDescent="0.15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ht="13" x14ac:dyDescent="0.15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ht="13" x14ac:dyDescent="0.15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ht="13" x14ac:dyDescent="0.15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ht="13" x14ac:dyDescent="0.15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ht="13" x14ac:dyDescent="0.15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ht="13" x14ac:dyDescent="0.15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ht="13" x14ac:dyDescent="0.15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ht="13" x14ac:dyDescent="0.15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ht="13" x14ac:dyDescent="0.15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ht="13" x14ac:dyDescent="0.15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ht="13" x14ac:dyDescent="0.15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ht="13" x14ac:dyDescent="0.15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ht="13" x14ac:dyDescent="0.15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ht="13" x14ac:dyDescent="0.15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ht="13" x14ac:dyDescent="0.15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ht="13" x14ac:dyDescent="0.15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ht="13" x14ac:dyDescent="0.15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ht="13" x14ac:dyDescent="0.15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ht="13" x14ac:dyDescent="0.15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ht="13" x14ac:dyDescent="0.15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ht="13" x14ac:dyDescent="0.15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ht="13" x14ac:dyDescent="0.15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ht="13" x14ac:dyDescent="0.15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ht="13" x14ac:dyDescent="0.15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ht="13" x14ac:dyDescent="0.15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ht="13" x14ac:dyDescent="0.15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ht="13" x14ac:dyDescent="0.15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ht="13" x14ac:dyDescent="0.15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ht="13" x14ac:dyDescent="0.15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ht="13" x14ac:dyDescent="0.15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ht="13" x14ac:dyDescent="0.15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ht="13" x14ac:dyDescent="0.15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ht="13" x14ac:dyDescent="0.15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ht="13" x14ac:dyDescent="0.15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ht="13" x14ac:dyDescent="0.15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ht="13" x14ac:dyDescent="0.15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ht="13" x14ac:dyDescent="0.15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ht="13" x14ac:dyDescent="0.15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ht="13" x14ac:dyDescent="0.15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ht="13" x14ac:dyDescent="0.15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ht="13" x14ac:dyDescent="0.15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ht="13" x14ac:dyDescent="0.15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ht="13" x14ac:dyDescent="0.15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ht="13" x14ac:dyDescent="0.15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ht="13" x14ac:dyDescent="0.15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ht="13" x14ac:dyDescent="0.15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ht="13" x14ac:dyDescent="0.15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ht="13" x14ac:dyDescent="0.15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ht="13" x14ac:dyDescent="0.15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ht="13" x14ac:dyDescent="0.15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ht="13" x14ac:dyDescent="0.15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ht="13" x14ac:dyDescent="0.15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ht="13" x14ac:dyDescent="0.15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ht="13" x14ac:dyDescent="0.15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ht="13" x14ac:dyDescent="0.15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ht="13" x14ac:dyDescent="0.15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ht="13" x14ac:dyDescent="0.15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ht="13" x14ac:dyDescent="0.15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ht="13" x14ac:dyDescent="0.15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ht="13" x14ac:dyDescent="0.15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ht="13" x14ac:dyDescent="0.15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ht="13" x14ac:dyDescent="0.15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ht="13" x14ac:dyDescent="0.15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ht="13" x14ac:dyDescent="0.15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ht="13" x14ac:dyDescent="0.15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ht="13" x14ac:dyDescent="0.15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ht="13" x14ac:dyDescent="0.15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ht="13" x14ac:dyDescent="0.15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ht="13" x14ac:dyDescent="0.15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ht="13" x14ac:dyDescent="0.15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ht="13" x14ac:dyDescent="0.15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ht="13" x14ac:dyDescent="0.15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ht="13" x14ac:dyDescent="0.15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ht="13" x14ac:dyDescent="0.15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ht="13" x14ac:dyDescent="0.15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ht="13" x14ac:dyDescent="0.15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ht="13" x14ac:dyDescent="0.15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ht="13" x14ac:dyDescent="0.15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ht="13" x14ac:dyDescent="0.15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ht="13" x14ac:dyDescent="0.15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ht="13" x14ac:dyDescent="0.15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ht="13" x14ac:dyDescent="0.15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ht="13" x14ac:dyDescent="0.15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ht="13" x14ac:dyDescent="0.15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ht="13" x14ac:dyDescent="0.15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ht="13" x14ac:dyDescent="0.15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ht="13" x14ac:dyDescent="0.15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ht="13" x14ac:dyDescent="0.15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ht="13" x14ac:dyDescent="0.15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ht="13" x14ac:dyDescent="0.15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ht="13" x14ac:dyDescent="0.15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ht="13" x14ac:dyDescent="0.15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ht="13" x14ac:dyDescent="0.15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spans="1:26" ht="13" x14ac:dyDescent="0.15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spans="1:26" ht="13" x14ac:dyDescent="0.15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spans="1:26" ht="13" x14ac:dyDescent="0.15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spans="1:26" ht="13" x14ac:dyDescent="0.15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spans="1:26" ht="13" x14ac:dyDescent="0.15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spans="1:26" ht="13" x14ac:dyDescent="0.15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spans="1:26" ht="13" x14ac:dyDescent="0.15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spans="1:26" ht="13" x14ac:dyDescent="0.15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spans="1:26" ht="13" x14ac:dyDescent="0.15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spans="1:26" ht="13" x14ac:dyDescent="0.15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spans="1:26" ht="13" x14ac:dyDescent="0.15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spans="1:26" ht="13" x14ac:dyDescent="0.15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spans="1:26" ht="13" x14ac:dyDescent="0.15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spans="1:26" ht="13" x14ac:dyDescent="0.15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spans="1:26" ht="13" x14ac:dyDescent="0.15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spans="1:26" ht="13" x14ac:dyDescent="0.15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spans="1:26" ht="13" x14ac:dyDescent="0.15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spans="1:26" ht="13" x14ac:dyDescent="0.15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spans="1:26" ht="13" x14ac:dyDescent="0.15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spans="1:26" ht="13" x14ac:dyDescent="0.15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spans="1:26" ht="13" x14ac:dyDescent="0.15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spans="1:26" ht="13" x14ac:dyDescent="0.15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spans="1:26" ht="13" x14ac:dyDescent="0.15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spans="1:26" ht="13" x14ac:dyDescent="0.15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spans="1:26" ht="13" x14ac:dyDescent="0.15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spans="1:26" ht="13" x14ac:dyDescent="0.15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spans="1:26" ht="13" x14ac:dyDescent="0.15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spans="1:26" ht="13" x14ac:dyDescent="0.15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spans="1:26" ht="13" x14ac:dyDescent="0.15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spans="1:26" ht="13" x14ac:dyDescent="0.15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spans="1:26" ht="13" x14ac:dyDescent="0.15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spans="1:26" ht="13" x14ac:dyDescent="0.15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spans="1:26" ht="13" x14ac:dyDescent="0.15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spans="1:26" ht="13" x14ac:dyDescent="0.15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spans="1:26" ht="13" x14ac:dyDescent="0.15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spans="1:26" ht="13" x14ac:dyDescent="0.15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spans="1:26" ht="13" x14ac:dyDescent="0.15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spans="1:26" ht="13" x14ac:dyDescent="0.15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spans="1:26" ht="13" x14ac:dyDescent="0.15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spans="1:26" ht="13" x14ac:dyDescent="0.15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spans="1:26" ht="13" x14ac:dyDescent="0.15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spans="1:26" ht="13" x14ac:dyDescent="0.15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spans="1:26" ht="13" x14ac:dyDescent="0.15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spans="1:26" ht="13" x14ac:dyDescent="0.15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spans="1:26" ht="13" x14ac:dyDescent="0.15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spans="1:26" ht="13" x14ac:dyDescent="0.15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spans="1:26" ht="13" x14ac:dyDescent="0.15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spans="1:26" ht="13" x14ac:dyDescent="0.15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spans="1:26" ht="13" x14ac:dyDescent="0.15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spans="1:26" ht="13" x14ac:dyDescent="0.15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spans="1:26" ht="13" x14ac:dyDescent="0.15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spans="1:26" ht="13" x14ac:dyDescent="0.15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spans="1:26" ht="13" x14ac:dyDescent="0.15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spans="1:26" ht="13" x14ac:dyDescent="0.15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spans="1:26" ht="13" x14ac:dyDescent="0.15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spans="1:26" ht="13" x14ac:dyDescent="0.15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spans="1:26" ht="13" x14ac:dyDescent="0.15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spans="1:26" ht="13" x14ac:dyDescent="0.15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spans="1:26" ht="13" x14ac:dyDescent="0.15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spans="1:26" ht="13" x14ac:dyDescent="0.15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spans="1:26" ht="13" x14ac:dyDescent="0.15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spans="1:26" ht="13" x14ac:dyDescent="0.15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spans="1:26" ht="13" x14ac:dyDescent="0.15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spans="1:26" ht="13" x14ac:dyDescent="0.15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spans="1:26" ht="13" x14ac:dyDescent="0.15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spans="1:26" ht="13" x14ac:dyDescent="0.15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spans="1:26" ht="13" x14ac:dyDescent="0.15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spans="1:26" ht="13" x14ac:dyDescent="0.15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spans="1:26" ht="13" x14ac:dyDescent="0.15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spans="1:26" ht="13" x14ac:dyDescent="0.15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spans="1:26" ht="13" x14ac:dyDescent="0.15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spans="1:26" ht="13" x14ac:dyDescent="0.15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spans="1:26" ht="13" x14ac:dyDescent="0.15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spans="1:26" ht="13" x14ac:dyDescent="0.15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spans="1:26" ht="13" x14ac:dyDescent="0.15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spans="1:26" ht="13" x14ac:dyDescent="0.15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spans="1:26" ht="13" x14ac:dyDescent="0.15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spans="1:26" ht="13" x14ac:dyDescent="0.15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spans="1:26" ht="13" x14ac:dyDescent="0.15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spans="1:26" ht="13" x14ac:dyDescent="0.15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spans="1:26" ht="13" x14ac:dyDescent="0.15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spans="1:26" ht="13" x14ac:dyDescent="0.15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spans="1:26" ht="13" x14ac:dyDescent="0.15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spans="1:26" ht="13" x14ac:dyDescent="0.15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spans="1:26" ht="13" x14ac:dyDescent="0.15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spans="1:26" ht="13" x14ac:dyDescent="0.15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spans="1:26" ht="13" x14ac:dyDescent="0.15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spans="1:26" ht="13" x14ac:dyDescent="0.15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spans="1:26" ht="13" x14ac:dyDescent="0.15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spans="1:26" ht="13" x14ac:dyDescent="0.15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spans="1:26" ht="13" x14ac:dyDescent="0.15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spans="1:26" ht="13" x14ac:dyDescent="0.15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spans="1:26" ht="13" x14ac:dyDescent="0.15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spans="1:26" ht="13" x14ac:dyDescent="0.15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spans="1:26" ht="13" x14ac:dyDescent="0.15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spans="1:26" ht="13" x14ac:dyDescent="0.15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spans="1:26" ht="13" x14ac:dyDescent="0.15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spans="1:26" ht="13" x14ac:dyDescent="0.15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spans="1:26" ht="13" x14ac:dyDescent="0.15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spans="1:26" ht="13" x14ac:dyDescent="0.15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spans="1:26" ht="13" x14ac:dyDescent="0.15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spans="1:26" ht="13" x14ac:dyDescent="0.15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spans="1:26" ht="13" x14ac:dyDescent="0.15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spans="1:26" ht="13" x14ac:dyDescent="0.15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spans="1:26" ht="13" x14ac:dyDescent="0.15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spans="1:26" ht="13" x14ac:dyDescent="0.15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spans="1:26" ht="13" x14ac:dyDescent="0.15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spans="1:26" ht="13" x14ac:dyDescent="0.15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spans="1:26" ht="13" x14ac:dyDescent="0.15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spans="1:26" ht="13" x14ac:dyDescent="0.15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spans="1:26" ht="13" x14ac:dyDescent="0.15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spans="1:26" ht="13" x14ac:dyDescent="0.15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spans="1:26" ht="13" x14ac:dyDescent="0.15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spans="1:26" ht="13" x14ac:dyDescent="0.15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spans="1:26" ht="13" x14ac:dyDescent="0.15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spans="1:26" ht="13" x14ac:dyDescent="0.15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spans="1:26" ht="13" x14ac:dyDescent="0.15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spans="1:26" ht="13" x14ac:dyDescent="0.15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spans="1:26" ht="13" x14ac:dyDescent="0.15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spans="1:26" ht="13" x14ac:dyDescent="0.15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spans="1:26" ht="13" x14ac:dyDescent="0.15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spans="1:26" ht="13" x14ac:dyDescent="0.15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spans="1:26" ht="13" x14ac:dyDescent="0.15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spans="1:26" ht="13" x14ac:dyDescent="0.15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spans="1:26" ht="13" x14ac:dyDescent="0.15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spans="1:26" ht="13" x14ac:dyDescent="0.15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spans="1:26" ht="13" x14ac:dyDescent="0.15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spans="1:26" ht="13" x14ac:dyDescent="0.15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spans="1:26" ht="13" x14ac:dyDescent="0.15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spans="1:26" ht="13" x14ac:dyDescent="0.15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spans="1:26" ht="13" x14ac:dyDescent="0.15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spans="1:26" ht="13" x14ac:dyDescent="0.15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spans="1:26" ht="13" x14ac:dyDescent="0.15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spans="1:26" ht="13" x14ac:dyDescent="0.15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spans="1:26" ht="13" x14ac:dyDescent="0.15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spans="1:26" ht="13" x14ac:dyDescent="0.15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spans="1:26" ht="13" x14ac:dyDescent="0.15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spans="1:26" ht="13" x14ac:dyDescent="0.15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spans="1:26" ht="13" x14ac:dyDescent="0.15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spans="1:26" ht="13" x14ac:dyDescent="0.15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spans="1:26" ht="13" x14ac:dyDescent="0.15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spans="1:26" ht="13" x14ac:dyDescent="0.15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spans="1:26" ht="13" x14ac:dyDescent="0.15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spans="1:26" ht="13" x14ac:dyDescent="0.15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spans="1:26" ht="13" x14ac:dyDescent="0.15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spans="1:26" ht="13" x14ac:dyDescent="0.15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spans="1:26" ht="13" x14ac:dyDescent="0.15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spans="1:26" ht="13" x14ac:dyDescent="0.15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spans="1:26" ht="13" x14ac:dyDescent="0.15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spans="1:26" ht="13" x14ac:dyDescent="0.15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spans="1:26" ht="13" x14ac:dyDescent="0.15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spans="1:26" ht="13" x14ac:dyDescent="0.15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spans="1:26" ht="13" x14ac:dyDescent="0.15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spans="1:26" ht="13" x14ac:dyDescent="0.15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spans="1:26" ht="13" x14ac:dyDescent="0.15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spans="1:26" ht="13" x14ac:dyDescent="0.15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spans="1:26" ht="13" x14ac:dyDescent="0.15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spans="1:26" ht="13" x14ac:dyDescent="0.15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spans="1:26" ht="13" x14ac:dyDescent="0.15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spans="1:26" ht="13" x14ac:dyDescent="0.15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spans="1:26" ht="13" x14ac:dyDescent="0.15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spans="1:26" ht="13" x14ac:dyDescent="0.15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spans="1:26" ht="13" x14ac:dyDescent="0.15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spans="1:26" ht="13" x14ac:dyDescent="0.15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spans="1:26" ht="13" x14ac:dyDescent="0.15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spans="1:26" ht="13" x14ac:dyDescent="0.15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spans="1:26" ht="13" x14ac:dyDescent="0.15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spans="1:26" ht="13" x14ac:dyDescent="0.15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spans="1:26" ht="13" x14ac:dyDescent="0.15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spans="1:26" ht="13" x14ac:dyDescent="0.15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spans="1:26" ht="13" x14ac:dyDescent="0.15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spans="1:26" ht="13" x14ac:dyDescent="0.15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spans="1:26" ht="13" x14ac:dyDescent="0.15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spans="1:26" ht="13" x14ac:dyDescent="0.15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spans="1:26" ht="13" x14ac:dyDescent="0.15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spans="1:26" ht="13" x14ac:dyDescent="0.15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spans="1:26" ht="13" x14ac:dyDescent="0.15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spans="1:26" ht="13" x14ac:dyDescent="0.15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spans="1:26" ht="13" x14ac:dyDescent="0.15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spans="1:26" ht="13" x14ac:dyDescent="0.15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spans="1:26" ht="13" x14ac:dyDescent="0.15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spans="1:26" ht="13" x14ac:dyDescent="0.15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spans="1:26" ht="13" x14ac:dyDescent="0.15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spans="1:26" ht="13" x14ac:dyDescent="0.15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spans="1:26" ht="13" x14ac:dyDescent="0.15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spans="1:26" ht="13" x14ac:dyDescent="0.15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spans="1:26" ht="13" x14ac:dyDescent="0.15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spans="1:26" ht="13" x14ac:dyDescent="0.15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spans="1:26" ht="13" x14ac:dyDescent="0.15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spans="1:26" ht="13" x14ac:dyDescent="0.15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spans="1:26" ht="13" x14ac:dyDescent="0.15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spans="1:26" ht="13" x14ac:dyDescent="0.15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spans="1:26" ht="13" x14ac:dyDescent="0.15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spans="1:26" ht="13" x14ac:dyDescent="0.15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spans="1:26" ht="13" x14ac:dyDescent="0.15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spans="1:26" ht="13" x14ac:dyDescent="0.15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spans="1:26" ht="13" x14ac:dyDescent="0.15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spans="1:26" ht="13" x14ac:dyDescent="0.15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spans="1:26" ht="13" x14ac:dyDescent="0.15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spans="1:26" ht="13" x14ac:dyDescent="0.15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spans="1:26" ht="13" x14ac:dyDescent="0.15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spans="1:26" ht="13" x14ac:dyDescent="0.15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spans="1:26" ht="13" x14ac:dyDescent="0.15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spans="1:26" ht="13" x14ac:dyDescent="0.15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spans="1:26" ht="13" x14ac:dyDescent="0.15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spans="1:26" ht="13" x14ac:dyDescent="0.15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spans="1:26" ht="13" x14ac:dyDescent="0.15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spans="1:26" ht="13" x14ac:dyDescent="0.15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spans="1:26" ht="13" x14ac:dyDescent="0.15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spans="1:26" ht="13" x14ac:dyDescent="0.15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spans="1:26" ht="13" x14ac:dyDescent="0.15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spans="1:26" ht="13" x14ac:dyDescent="0.15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spans="1:26" ht="13" x14ac:dyDescent="0.15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spans="1:26" ht="13" x14ac:dyDescent="0.15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spans="1:26" ht="13" x14ac:dyDescent="0.15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spans="1:26" ht="13" x14ac:dyDescent="0.15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spans="1:26" ht="13" x14ac:dyDescent="0.15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spans="1:26" ht="13" x14ac:dyDescent="0.15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spans="1:26" ht="13" x14ac:dyDescent="0.15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spans="1:26" ht="13" x14ac:dyDescent="0.15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spans="1:26" ht="13" x14ac:dyDescent="0.15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spans="1:26" ht="13" x14ac:dyDescent="0.15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spans="1:26" ht="13" x14ac:dyDescent="0.15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spans="1:26" ht="13" x14ac:dyDescent="0.15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spans="1:26" ht="13" x14ac:dyDescent="0.15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spans="1:26" ht="13" x14ac:dyDescent="0.15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spans="1:26" ht="13" x14ac:dyDescent="0.15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spans="1:26" ht="13" x14ac:dyDescent="0.15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spans="1:26" ht="13" x14ac:dyDescent="0.15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spans="1:26" ht="13" x14ac:dyDescent="0.15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spans="1:26" ht="13" x14ac:dyDescent="0.15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spans="1:26" ht="13" x14ac:dyDescent="0.15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spans="1:26" ht="13" x14ac:dyDescent="0.15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spans="1:26" ht="13" x14ac:dyDescent="0.15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spans="1:26" ht="13" x14ac:dyDescent="0.15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spans="1:26" ht="13" x14ac:dyDescent="0.15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spans="1:26" ht="13" x14ac:dyDescent="0.15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spans="1:26" ht="13" x14ac:dyDescent="0.15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spans="1:26" ht="13" x14ac:dyDescent="0.15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spans="1:26" ht="13" x14ac:dyDescent="0.15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spans="1:26" ht="13" x14ac:dyDescent="0.15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spans="1:26" ht="13" x14ac:dyDescent="0.15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spans="1:26" ht="13" x14ac:dyDescent="0.15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spans="1:26" ht="13" x14ac:dyDescent="0.15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spans="1:26" ht="13" x14ac:dyDescent="0.15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spans="1:26" ht="13" x14ac:dyDescent="0.15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spans="1:26" ht="13" x14ac:dyDescent="0.15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spans="1:26" ht="13" x14ac:dyDescent="0.15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spans="1:26" ht="13" x14ac:dyDescent="0.15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spans="1:26" ht="13" x14ac:dyDescent="0.15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spans="1:26" ht="13" x14ac:dyDescent="0.15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spans="1:26" ht="13" x14ac:dyDescent="0.15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spans="1:26" ht="13" x14ac:dyDescent="0.15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spans="1:26" ht="13" x14ac:dyDescent="0.15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spans="1:26" ht="13" x14ac:dyDescent="0.15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spans="1:26" ht="13" x14ac:dyDescent="0.15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spans="1:26" ht="13" x14ac:dyDescent="0.15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spans="1:26" ht="13" x14ac:dyDescent="0.15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spans="1:26" ht="13" x14ac:dyDescent="0.15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spans="1:26" ht="13" x14ac:dyDescent="0.15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spans="1:26" ht="13" x14ac:dyDescent="0.15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spans="1:26" ht="13" x14ac:dyDescent="0.15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spans="1:26" ht="13" x14ac:dyDescent="0.15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spans="1:26" ht="13" x14ac:dyDescent="0.15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spans="1:26" ht="13" x14ac:dyDescent="0.15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spans="1:26" ht="13" x14ac:dyDescent="0.15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spans="1:26" ht="13" x14ac:dyDescent="0.15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spans="1:26" ht="13" x14ac:dyDescent="0.15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spans="1:26" ht="13" x14ac:dyDescent="0.15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spans="1:26" ht="13" x14ac:dyDescent="0.15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spans="1:26" ht="13" x14ac:dyDescent="0.15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spans="1:26" ht="13" x14ac:dyDescent="0.15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spans="1:26" ht="13" x14ac:dyDescent="0.15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spans="1:26" ht="13" x14ac:dyDescent="0.15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spans="1:26" ht="13" x14ac:dyDescent="0.15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spans="1:26" ht="13" x14ac:dyDescent="0.15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spans="1:26" ht="13" x14ac:dyDescent="0.15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spans="1:26" ht="13" x14ac:dyDescent="0.15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spans="1:26" ht="13" x14ac:dyDescent="0.15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spans="1:26" ht="13" x14ac:dyDescent="0.15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spans="1:26" ht="13" x14ac:dyDescent="0.15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spans="1:26" ht="13" x14ac:dyDescent="0.15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spans="1:26" ht="13" x14ac:dyDescent="0.15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spans="1:26" ht="13" x14ac:dyDescent="0.15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spans="1:26" ht="13" x14ac:dyDescent="0.15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spans="1:26" ht="13" x14ac:dyDescent="0.15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spans="1:26" ht="13" x14ac:dyDescent="0.15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spans="1:26" ht="13" x14ac:dyDescent="0.15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spans="1:26" ht="13" x14ac:dyDescent="0.15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spans="1:26" ht="13" x14ac:dyDescent="0.15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spans="1:26" ht="13" x14ac:dyDescent="0.15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spans="1:26" ht="13" x14ac:dyDescent="0.15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spans="1:26" ht="13" x14ac:dyDescent="0.15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spans="1:26" ht="13" x14ac:dyDescent="0.15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spans="1:26" ht="13" x14ac:dyDescent="0.15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spans="1:26" ht="13" x14ac:dyDescent="0.15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spans="1:26" ht="13" x14ac:dyDescent="0.15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spans="1:26" ht="13" x14ac:dyDescent="0.15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spans="1:26" ht="13" x14ac:dyDescent="0.15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spans="1:26" ht="13" x14ac:dyDescent="0.15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spans="1:26" ht="13" x14ac:dyDescent="0.15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spans="1:26" ht="13" x14ac:dyDescent="0.15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spans="1:26" ht="13" x14ac:dyDescent="0.15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spans="1:26" ht="13" x14ac:dyDescent="0.15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spans="1:26" ht="13" x14ac:dyDescent="0.15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spans="1:26" ht="13" x14ac:dyDescent="0.15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spans="1:26" ht="13" x14ac:dyDescent="0.15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spans="1:26" ht="13" x14ac:dyDescent="0.15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spans="1:26" ht="13" x14ac:dyDescent="0.15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spans="1:26" ht="13" x14ac:dyDescent="0.15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spans="1:26" ht="13" x14ac:dyDescent="0.15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spans="1:26" ht="13" x14ac:dyDescent="0.15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spans="1:26" ht="13" x14ac:dyDescent="0.15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spans="1:26" ht="13" x14ac:dyDescent="0.15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spans="1:26" ht="13" x14ac:dyDescent="0.15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spans="1:26" ht="13" x14ac:dyDescent="0.15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spans="1:26" ht="13" x14ac:dyDescent="0.15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spans="1:26" ht="13" x14ac:dyDescent="0.15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spans="1:26" ht="13" x14ac:dyDescent="0.15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spans="1:26" ht="13" x14ac:dyDescent="0.15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spans="1:26" ht="13" x14ac:dyDescent="0.15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spans="1:26" ht="13" x14ac:dyDescent="0.15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spans="1:26" ht="13" x14ac:dyDescent="0.15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spans="1:26" ht="13" x14ac:dyDescent="0.15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spans="1:26" ht="13" x14ac:dyDescent="0.15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spans="1:26" ht="13" x14ac:dyDescent="0.15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spans="1:26" ht="13" x14ac:dyDescent="0.15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spans="1:26" ht="13" x14ac:dyDescent="0.15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spans="1:26" ht="13" x14ac:dyDescent="0.15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spans="1:26" ht="13" x14ac:dyDescent="0.15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spans="1:26" ht="13" x14ac:dyDescent="0.15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spans="1:26" ht="13" x14ac:dyDescent="0.15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spans="1:26" ht="13" x14ac:dyDescent="0.15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spans="1:26" ht="13" x14ac:dyDescent="0.15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spans="1:26" ht="13" x14ac:dyDescent="0.15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spans="1:26" ht="13" x14ac:dyDescent="0.15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spans="1:26" ht="13" x14ac:dyDescent="0.15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spans="1:26" ht="13" x14ac:dyDescent="0.15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spans="1:26" ht="13" x14ac:dyDescent="0.15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spans="1:26" ht="13" x14ac:dyDescent="0.15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spans="1:26" ht="13" x14ac:dyDescent="0.15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spans="1:26" ht="13" x14ac:dyDescent="0.15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spans="1:26" ht="13" x14ac:dyDescent="0.15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spans="1:26" ht="13" x14ac:dyDescent="0.15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spans="1:26" ht="13" x14ac:dyDescent="0.15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spans="1:26" ht="13" x14ac:dyDescent="0.15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spans="1:26" ht="13" x14ac:dyDescent="0.15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spans="1:26" ht="13" x14ac:dyDescent="0.15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spans="1:26" ht="13" x14ac:dyDescent="0.15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spans="1:26" ht="13" x14ac:dyDescent="0.15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spans="1:26" ht="13" x14ac:dyDescent="0.15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spans="1:26" ht="13" x14ac:dyDescent="0.15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spans="1:26" ht="13" x14ac:dyDescent="0.15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spans="1:26" ht="13" x14ac:dyDescent="0.15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spans="1:26" ht="13" x14ac:dyDescent="0.15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spans="1:26" ht="13" x14ac:dyDescent="0.15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spans="1:26" ht="13" x14ac:dyDescent="0.15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spans="1:26" ht="13" x14ac:dyDescent="0.15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spans="1:26" ht="13" x14ac:dyDescent="0.15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spans="1:26" ht="13" x14ac:dyDescent="0.15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spans="1:26" ht="13" x14ac:dyDescent="0.15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spans="1:26" ht="13" x14ac:dyDescent="0.15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spans="1:26" ht="13" x14ac:dyDescent="0.15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spans="1:26" ht="13" x14ac:dyDescent="0.15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spans="1:26" ht="13" x14ac:dyDescent="0.15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spans="1:26" ht="13" x14ac:dyDescent="0.15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spans="1:26" ht="13" x14ac:dyDescent="0.15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spans="1:26" ht="13" x14ac:dyDescent="0.15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spans="1:26" ht="13" x14ac:dyDescent="0.15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spans="1:26" ht="13" x14ac:dyDescent="0.15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spans="1:26" ht="13" x14ac:dyDescent="0.15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spans="1:26" ht="13" x14ac:dyDescent="0.15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spans="1:26" ht="13" x14ac:dyDescent="0.15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spans="1:26" ht="13" x14ac:dyDescent="0.15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spans="1:26" ht="13" x14ac:dyDescent="0.15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spans="1:26" ht="13" x14ac:dyDescent="0.15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spans="1:26" ht="13" x14ac:dyDescent="0.15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spans="1:26" ht="13" x14ac:dyDescent="0.15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spans="1:26" ht="13" x14ac:dyDescent="0.15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spans="1:26" ht="13" x14ac:dyDescent="0.15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spans="1:26" ht="13" x14ac:dyDescent="0.15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spans="1:26" ht="13" x14ac:dyDescent="0.15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spans="1:26" ht="13" x14ac:dyDescent="0.15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spans="1:26" ht="13" x14ac:dyDescent="0.15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spans="1:26" ht="13" x14ac:dyDescent="0.15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spans="1:26" ht="13" x14ac:dyDescent="0.15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spans="1:26" ht="13" x14ac:dyDescent="0.15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spans="1:26" ht="13" x14ac:dyDescent="0.15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spans="1:26" ht="13" x14ac:dyDescent="0.15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spans="1:26" ht="13" x14ac:dyDescent="0.15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spans="1:26" ht="13" x14ac:dyDescent="0.15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spans="1:26" ht="13" x14ac:dyDescent="0.15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spans="1:26" ht="13" x14ac:dyDescent="0.15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spans="1:26" ht="13" x14ac:dyDescent="0.15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spans="1:26" ht="13" x14ac:dyDescent="0.15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spans="1:26" ht="13" x14ac:dyDescent="0.15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spans="1:26" ht="13" x14ac:dyDescent="0.15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spans="1:26" ht="13" x14ac:dyDescent="0.15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spans="1:26" ht="13" x14ac:dyDescent="0.15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spans="1:26" ht="13" x14ac:dyDescent="0.15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spans="1:26" ht="13" x14ac:dyDescent="0.15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spans="1:26" ht="13" x14ac:dyDescent="0.15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spans="1:26" ht="13" x14ac:dyDescent="0.15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spans="1:26" ht="13" x14ac:dyDescent="0.15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spans="1:26" ht="13" x14ac:dyDescent="0.15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spans="1:26" ht="13" x14ac:dyDescent="0.15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spans="1:26" ht="13" x14ac:dyDescent="0.15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spans="1:26" ht="13" x14ac:dyDescent="0.15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spans="1:26" ht="13" x14ac:dyDescent="0.15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spans="1:26" ht="13" x14ac:dyDescent="0.15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spans="1:26" ht="13" x14ac:dyDescent="0.15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spans="1:26" ht="13" x14ac:dyDescent="0.15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spans="1:26" ht="13" x14ac:dyDescent="0.15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spans="1:26" ht="13" x14ac:dyDescent="0.15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spans="1:26" ht="13" x14ac:dyDescent="0.15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spans="1:26" ht="13" x14ac:dyDescent="0.15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spans="1:26" ht="13" x14ac:dyDescent="0.15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spans="1:26" ht="13" x14ac:dyDescent="0.15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spans="1:26" ht="13" x14ac:dyDescent="0.15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spans="1:26" ht="13" x14ac:dyDescent="0.15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spans="1:26" ht="13" x14ac:dyDescent="0.15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spans="1:26" ht="13" x14ac:dyDescent="0.15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spans="1:26" ht="13" x14ac:dyDescent="0.15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spans="1:26" ht="13" x14ac:dyDescent="0.15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spans="1:26" ht="13" x14ac:dyDescent="0.15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spans="1:26" ht="13" x14ac:dyDescent="0.15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spans="1:26" ht="13" x14ac:dyDescent="0.15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spans="1:26" ht="13" x14ac:dyDescent="0.15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spans="1:26" ht="13" x14ac:dyDescent="0.15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spans="1:26" ht="13" x14ac:dyDescent="0.15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spans="1:26" ht="13" x14ac:dyDescent="0.15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spans="1:26" ht="13" x14ac:dyDescent="0.15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spans="1:26" ht="13" x14ac:dyDescent="0.15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spans="1:26" ht="13" x14ac:dyDescent="0.15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spans="1:26" ht="13" x14ac:dyDescent="0.15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spans="1:26" ht="13" x14ac:dyDescent="0.15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spans="1:26" ht="13" x14ac:dyDescent="0.15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spans="1:26" ht="13" x14ac:dyDescent="0.15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spans="1:26" ht="13" x14ac:dyDescent="0.15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spans="1:26" ht="13" x14ac:dyDescent="0.15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spans="1:26" ht="13" x14ac:dyDescent="0.15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spans="1:26" ht="13" x14ac:dyDescent="0.15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spans="1:26" ht="13" x14ac:dyDescent="0.15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spans="1:26" ht="13" x14ac:dyDescent="0.15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spans="1:26" ht="13" x14ac:dyDescent="0.15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spans="1:26" ht="13" x14ac:dyDescent="0.15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spans="1:26" ht="13" x14ac:dyDescent="0.15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spans="1:26" ht="13" x14ac:dyDescent="0.15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spans="1:26" ht="13" x14ac:dyDescent="0.15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spans="1:26" ht="13" x14ac:dyDescent="0.15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spans="1:26" ht="13" x14ac:dyDescent="0.15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spans="1:26" ht="13" x14ac:dyDescent="0.15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spans="1:26" ht="13" x14ac:dyDescent="0.15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spans="1:26" ht="13" x14ac:dyDescent="0.15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spans="1:26" ht="13" x14ac:dyDescent="0.15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spans="1:26" ht="13" x14ac:dyDescent="0.15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spans="1:26" ht="13" x14ac:dyDescent="0.15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spans="1:26" ht="13" x14ac:dyDescent="0.15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spans="1:26" ht="13" x14ac:dyDescent="0.15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spans="1:26" ht="13" x14ac:dyDescent="0.15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spans="1:26" ht="13" x14ac:dyDescent="0.15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spans="1:26" ht="13" x14ac:dyDescent="0.15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spans="1:26" ht="13" x14ac:dyDescent="0.15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spans="1:26" ht="13" x14ac:dyDescent="0.15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spans="1:26" ht="13" x14ac:dyDescent="0.15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spans="1:26" ht="13" x14ac:dyDescent="0.15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spans="1:26" ht="13" x14ac:dyDescent="0.15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spans="1:26" ht="13" x14ac:dyDescent="0.15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spans="1:26" ht="13" x14ac:dyDescent="0.15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spans="1:26" ht="13" x14ac:dyDescent="0.15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spans="1:26" ht="13" x14ac:dyDescent="0.15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spans="1:26" ht="13" x14ac:dyDescent="0.15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spans="1:26" ht="13" x14ac:dyDescent="0.15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spans="1:26" ht="13" x14ac:dyDescent="0.15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spans="1:26" ht="13" x14ac:dyDescent="0.15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spans="1:26" ht="13" x14ac:dyDescent="0.15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spans="1:26" ht="13" x14ac:dyDescent="0.15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spans="1:26" ht="13" x14ac:dyDescent="0.15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spans="1:26" ht="13" x14ac:dyDescent="0.15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spans="1:26" ht="13" x14ac:dyDescent="0.15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spans="1:26" ht="13" x14ac:dyDescent="0.15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spans="1:26" ht="13" x14ac:dyDescent="0.15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spans="1:26" ht="13" x14ac:dyDescent="0.15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spans="1:26" ht="13" x14ac:dyDescent="0.15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spans="1:26" ht="13" x14ac:dyDescent="0.15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spans="1:26" ht="13" x14ac:dyDescent="0.15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spans="1:26" ht="13" x14ac:dyDescent="0.15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spans="1:26" ht="13" x14ac:dyDescent="0.15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spans="1:26" ht="13" x14ac:dyDescent="0.15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spans="1:26" ht="13" x14ac:dyDescent="0.15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spans="1:26" ht="13" x14ac:dyDescent="0.15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spans="1:26" ht="13" x14ac:dyDescent="0.15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spans="1:26" ht="13" x14ac:dyDescent="0.15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spans="1:26" ht="13" x14ac:dyDescent="0.15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spans="1:26" ht="13" x14ac:dyDescent="0.15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spans="1:26" ht="13" x14ac:dyDescent="0.15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spans="1:26" ht="13" x14ac:dyDescent="0.15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spans="1:26" ht="13" x14ac:dyDescent="0.15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spans="1:26" ht="13" x14ac:dyDescent="0.15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spans="1:26" ht="13" x14ac:dyDescent="0.15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spans="1:26" ht="13" x14ac:dyDescent="0.15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spans="1:26" ht="13" x14ac:dyDescent="0.15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spans="1:26" ht="13" x14ac:dyDescent="0.15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spans="1:26" ht="13" x14ac:dyDescent="0.15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spans="1:26" ht="13" x14ac:dyDescent="0.15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spans="1:26" ht="13" x14ac:dyDescent="0.15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spans="1:26" ht="13" x14ac:dyDescent="0.15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spans="1:26" ht="13" x14ac:dyDescent="0.15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spans="1:26" ht="13" x14ac:dyDescent="0.15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spans="1:26" ht="13" x14ac:dyDescent="0.15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spans="1:26" ht="13" x14ac:dyDescent="0.15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spans="1:26" ht="13" x14ac:dyDescent="0.15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spans="1:26" ht="13" x14ac:dyDescent="0.15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spans="1:26" ht="13" x14ac:dyDescent="0.15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spans="1:26" ht="13" x14ac:dyDescent="0.15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spans="1:26" ht="13" x14ac:dyDescent="0.15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spans="1:26" ht="13" x14ac:dyDescent="0.15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spans="1:26" ht="13" x14ac:dyDescent="0.15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spans="1:26" ht="13" x14ac:dyDescent="0.15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spans="1:26" ht="13" x14ac:dyDescent="0.15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spans="1:26" ht="13" x14ac:dyDescent="0.15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spans="1:26" ht="13" x14ac:dyDescent="0.15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spans="1:26" ht="13" x14ac:dyDescent="0.15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spans="1:26" ht="13" x14ac:dyDescent="0.15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spans="1:26" ht="13" x14ac:dyDescent="0.15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spans="1:26" ht="13" x14ac:dyDescent="0.15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spans="1:26" ht="13" x14ac:dyDescent="0.15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spans="1:26" ht="13" x14ac:dyDescent="0.15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spans="1:26" ht="13" x14ac:dyDescent="0.15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spans="1:26" ht="13" x14ac:dyDescent="0.15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spans="1:26" ht="13" x14ac:dyDescent="0.15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spans="1:26" ht="13" x14ac:dyDescent="0.15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spans="1:26" ht="13" x14ac:dyDescent="0.15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spans="1:26" ht="13" x14ac:dyDescent="0.15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spans="1:26" ht="13" x14ac:dyDescent="0.15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spans="1:26" ht="13" x14ac:dyDescent="0.15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spans="1:26" ht="13" x14ac:dyDescent="0.15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spans="1:26" ht="13" x14ac:dyDescent="0.15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spans="1:26" ht="13" x14ac:dyDescent="0.15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spans="1:26" ht="13" x14ac:dyDescent="0.15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spans="1:26" ht="13" x14ac:dyDescent="0.15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spans="1:26" ht="13" x14ac:dyDescent="0.15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spans="1:26" ht="13" x14ac:dyDescent="0.15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spans="1:26" ht="13" x14ac:dyDescent="0.15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spans="1:26" ht="13" x14ac:dyDescent="0.15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spans="1:26" ht="13" x14ac:dyDescent="0.15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spans="1:26" ht="13" x14ac:dyDescent="0.15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spans="1:26" ht="13" x14ac:dyDescent="0.15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spans="1:26" ht="13" x14ac:dyDescent="0.15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spans="1:26" ht="13" x14ac:dyDescent="0.15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spans="1:26" ht="13" x14ac:dyDescent="0.15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spans="1:26" ht="13" x14ac:dyDescent="0.15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spans="1:26" ht="13" x14ac:dyDescent="0.15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spans="1:26" ht="13" x14ac:dyDescent="0.15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spans="1:26" ht="13" x14ac:dyDescent="0.15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spans="1:26" ht="13" x14ac:dyDescent="0.15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spans="1:26" ht="13" x14ac:dyDescent="0.15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spans="1:26" ht="13" x14ac:dyDescent="0.15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spans="1:26" ht="13" x14ac:dyDescent="0.15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spans="1:26" ht="13" x14ac:dyDescent="0.15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spans="1:26" ht="13" x14ac:dyDescent="0.15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spans="1:26" ht="13" x14ac:dyDescent="0.15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spans="1:26" ht="13" x14ac:dyDescent="0.15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spans="1:26" ht="13" x14ac:dyDescent="0.15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spans="1:26" ht="13" x14ac:dyDescent="0.15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spans="1:26" ht="13" x14ac:dyDescent="0.15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spans="1:26" ht="13" x14ac:dyDescent="0.15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spans="1:26" ht="13" x14ac:dyDescent="0.15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spans="1:26" ht="13" x14ac:dyDescent="0.15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spans="1:26" ht="13" x14ac:dyDescent="0.15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spans="1:26" ht="13" x14ac:dyDescent="0.15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spans="1:26" ht="13" x14ac:dyDescent="0.15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spans="1:26" ht="13" x14ac:dyDescent="0.15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spans="1:26" ht="13" x14ac:dyDescent="0.15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spans="1:26" ht="13" x14ac:dyDescent="0.15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spans="1:26" ht="13" x14ac:dyDescent="0.15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spans="1:26" ht="13" x14ac:dyDescent="0.15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spans="1:26" ht="13" x14ac:dyDescent="0.15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spans="1:26" ht="13" x14ac:dyDescent="0.15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spans="1:26" ht="13" x14ac:dyDescent="0.15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spans="1:26" ht="13" x14ac:dyDescent="0.15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spans="1:26" ht="13" x14ac:dyDescent="0.15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spans="1:26" ht="13" x14ac:dyDescent="0.15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spans="1:26" ht="13" x14ac:dyDescent="0.15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spans="1:26" ht="13" x14ac:dyDescent="0.15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spans="1:26" ht="13" x14ac:dyDescent="0.15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spans="1:26" ht="13" x14ac:dyDescent="0.15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spans="1:26" ht="13" x14ac:dyDescent="0.15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spans="1:26" ht="13" x14ac:dyDescent="0.15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spans="1:26" ht="13" x14ac:dyDescent="0.15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spans="1:26" ht="13" x14ac:dyDescent="0.15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spans="1:26" ht="13" x14ac:dyDescent="0.15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spans="1:26" ht="13" x14ac:dyDescent="0.15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spans="1:26" ht="13" x14ac:dyDescent="0.15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spans="1:26" ht="13" x14ac:dyDescent="0.15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spans="1:26" ht="13" x14ac:dyDescent="0.15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spans="1:26" ht="13" x14ac:dyDescent="0.15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spans="1:26" ht="13" x14ac:dyDescent="0.15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spans="1:26" ht="13" x14ac:dyDescent="0.15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spans="1:26" ht="13" x14ac:dyDescent="0.15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spans="1:26" ht="13" x14ac:dyDescent="0.15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spans="1:26" ht="13" x14ac:dyDescent="0.15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spans="1:26" ht="13" x14ac:dyDescent="0.15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spans="1:26" ht="13" x14ac:dyDescent="0.15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spans="1:26" ht="13" x14ac:dyDescent="0.15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spans="1:26" ht="13" x14ac:dyDescent="0.15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spans="1:26" ht="13" x14ac:dyDescent="0.15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spans="1:26" ht="13" x14ac:dyDescent="0.15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spans="1:26" ht="13" x14ac:dyDescent="0.15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spans="1:26" ht="13" x14ac:dyDescent="0.15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spans="1:26" ht="13" x14ac:dyDescent="0.15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spans="1:26" ht="13" x14ac:dyDescent="0.15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spans="1:26" ht="13" x14ac:dyDescent="0.15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spans="1:26" ht="13" x14ac:dyDescent="0.15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spans="1:26" ht="13" x14ac:dyDescent="0.15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spans="1:26" ht="13" x14ac:dyDescent="0.15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spans="1:26" ht="13" x14ac:dyDescent="0.15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spans="1:26" ht="13" x14ac:dyDescent="0.15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spans="1:26" ht="13" x14ac:dyDescent="0.15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spans="1:26" ht="13" x14ac:dyDescent="0.15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spans="1:26" ht="13" x14ac:dyDescent="0.15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spans="1:26" ht="13" x14ac:dyDescent="0.15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spans="1:26" ht="13" x14ac:dyDescent="0.15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spans="1:26" ht="13" x14ac:dyDescent="0.15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spans="1:26" ht="13" x14ac:dyDescent="0.15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spans="1:26" ht="13" x14ac:dyDescent="0.15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spans="1:26" ht="13" x14ac:dyDescent="0.15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spans="1:26" ht="13" x14ac:dyDescent="0.15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spans="1:26" ht="13" x14ac:dyDescent="0.15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spans="1:26" ht="13" x14ac:dyDescent="0.15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spans="1:26" ht="13" x14ac:dyDescent="0.15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spans="1:26" ht="13" x14ac:dyDescent="0.15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spans="1:26" ht="13" x14ac:dyDescent="0.15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spans="1:26" ht="13" x14ac:dyDescent="0.15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spans="1:26" ht="13" x14ac:dyDescent="0.15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spans="1:26" ht="13" x14ac:dyDescent="0.15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spans="1:26" ht="13" x14ac:dyDescent="0.15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spans="1:26" ht="13" x14ac:dyDescent="0.15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spans="1:26" ht="13" x14ac:dyDescent="0.15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spans="1:26" ht="13" x14ac:dyDescent="0.15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spans="1:26" ht="13" x14ac:dyDescent="0.15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spans="1:26" ht="13" x14ac:dyDescent="0.15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spans="1:26" ht="13" x14ac:dyDescent="0.15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spans="1:26" ht="13" x14ac:dyDescent="0.15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spans="1:26" ht="13" x14ac:dyDescent="0.15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spans="1:26" ht="13" x14ac:dyDescent="0.15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spans="1:26" ht="13" x14ac:dyDescent="0.15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spans="1:26" ht="13" x14ac:dyDescent="0.15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spans="1:26" ht="13" x14ac:dyDescent="0.15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spans="1:26" ht="13" x14ac:dyDescent="0.15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spans="1:26" ht="13" x14ac:dyDescent="0.15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spans="1:26" ht="13" x14ac:dyDescent="0.15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spans="1:26" ht="13" x14ac:dyDescent="0.15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spans="1:26" ht="13" x14ac:dyDescent="0.15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spans="1:26" ht="13" x14ac:dyDescent="0.15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spans="1:26" ht="13" x14ac:dyDescent="0.15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spans="1:26" ht="13" x14ac:dyDescent="0.15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spans="1:26" ht="13" x14ac:dyDescent="0.15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spans="1:26" ht="13" x14ac:dyDescent="0.15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spans="1:26" ht="13" x14ac:dyDescent="0.15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spans="1:26" ht="13" x14ac:dyDescent="0.15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spans="1:26" ht="13" x14ac:dyDescent="0.15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spans="1:26" ht="13" x14ac:dyDescent="0.15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spans="1:26" ht="13" x14ac:dyDescent="0.15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spans="1:26" ht="13" x14ac:dyDescent="0.15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spans="1:26" ht="13" x14ac:dyDescent="0.15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spans="1:26" ht="13" x14ac:dyDescent="0.15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spans="1:26" ht="13" x14ac:dyDescent="0.15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spans="1:26" ht="13" x14ac:dyDescent="0.15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spans="1:26" ht="13" x14ac:dyDescent="0.15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spans="1:26" ht="13" x14ac:dyDescent="0.15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spans="1:26" ht="13" x14ac:dyDescent="0.15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spans="1:26" ht="13" x14ac:dyDescent="0.1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spans="1:26" ht="13" x14ac:dyDescent="0.15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spans="1:26" ht="13" x14ac:dyDescent="0.15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spans="1:26" ht="13" x14ac:dyDescent="0.15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spans="1:26" ht="13" x14ac:dyDescent="0.15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spans="1:26" ht="13" x14ac:dyDescent="0.15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spans="1:26" ht="13" x14ac:dyDescent="0.15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spans="1:26" ht="13" x14ac:dyDescent="0.15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spans="1:26" ht="13" x14ac:dyDescent="0.15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spans="1:26" ht="13" x14ac:dyDescent="0.15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spans="1:26" ht="13" x14ac:dyDescent="0.1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spans="1:26" ht="13" x14ac:dyDescent="0.15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spans="1:26" ht="13" x14ac:dyDescent="0.15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spans="1:26" ht="13" x14ac:dyDescent="0.15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spans="1:26" ht="13" x14ac:dyDescent="0.15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spans="1:26" ht="13" x14ac:dyDescent="0.15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spans="1:26" ht="13" x14ac:dyDescent="0.15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spans="1:26" ht="13" x14ac:dyDescent="0.15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spans="1:26" ht="13" x14ac:dyDescent="0.15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spans="1:26" ht="13" x14ac:dyDescent="0.15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spans="1:26" ht="13" x14ac:dyDescent="0.15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spans="1:26" ht="13" x14ac:dyDescent="0.15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spans="1:26" ht="13" x14ac:dyDescent="0.15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spans="1:26" ht="13" x14ac:dyDescent="0.15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spans="1:26" ht="13" x14ac:dyDescent="0.15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spans="1:26" ht="13" x14ac:dyDescent="0.15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spans="1:26" ht="13" x14ac:dyDescent="0.15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spans="1:26" ht="13" x14ac:dyDescent="0.15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spans="1:26" ht="13" x14ac:dyDescent="0.15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spans="1:26" ht="13" x14ac:dyDescent="0.15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spans="1:26" ht="13" x14ac:dyDescent="0.15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spans="1:26" ht="13" x14ac:dyDescent="0.15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spans="1:26" ht="13" x14ac:dyDescent="0.15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spans="1:26" ht="13" x14ac:dyDescent="0.15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spans="1:26" ht="13" x14ac:dyDescent="0.15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spans="1:26" ht="13" x14ac:dyDescent="0.15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spans="1:26" ht="13" x14ac:dyDescent="0.15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spans="1:26" ht="13" x14ac:dyDescent="0.15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spans="1:26" ht="13" x14ac:dyDescent="0.15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spans="1:26" ht="13" x14ac:dyDescent="0.15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spans="1:26" ht="13" x14ac:dyDescent="0.15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spans="1:26" ht="13" x14ac:dyDescent="0.15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spans="1:26" ht="13" x14ac:dyDescent="0.15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spans="1:26" ht="13" x14ac:dyDescent="0.15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spans="1:26" ht="13" x14ac:dyDescent="0.15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spans="1:26" ht="13" x14ac:dyDescent="0.15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spans="1:26" ht="13" x14ac:dyDescent="0.15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spans="1:26" ht="13" x14ac:dyDescent="0.15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spans="1:26" ht="13" x14ac:dyDescent="0.15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spans="1:26" ht="13" x14ac:dyDescent="0.15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spans="1:26" ht="13" x14ac:dyDescent="0.15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spans="1:26" ht="13" x14ac:dyDescent="0.15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spans="1:26" ht="13" x14ac:dyDescent="0.15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spans="1:26" ht="13" x14ac:dyDescent="0.15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spans="1:26" ht="13" x14ac:dyDescent="0.15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spans="1:26" ht="13" x14ac:dyDescent="0.15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spans="1:26" ht="13" x14ac:dyDescent="0.15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spans="1:26" ht="13" x14ac:dyDescent="0.15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spans="1:26" ht="13" x14ac:dyDescent="0.15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spans="1:26" ht="13" x14ac:dyDescent="0.15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spans="1:26" ht="13" x14ac:dyDescent="0.15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spans="1:26" ht="13" x14ac:dyDescent="0.15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spans="1:26" ht="13" x14ac:dyDescent="0.15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spans="1:26" ht="13" x14ac:dyDescent="0.15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spans="1:26" ht="13" x14ac:dyDescent="0.15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spans="1:26" ht="13" x14ac:dyDescent="0.15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spans="1:26" ht="13" x14ac:dyDescent="0.15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spans="1:26" ht="13" x14ac:dyDescent="0.15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spans="1:26" ht="13" x14ac:dyDescent="0.15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spans="1:26" ht="13" x14ac:dyDescent="0.15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spans="1:26" ht="13" x14ac:dyDescent="0.15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 spans="1:26" ht="13" x14ac:dyDescent="0.15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 spans="1:26" ht="13" x14ac:dyDescent="0.15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 spans="1:26" ht="13" x14ac:dyDescent="0.15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 spans="1:26" ht="13" x14ac:dyDescent="0.15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 spans="1:26" ht="13" x14ac:dyDescent="0.15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 spans="1:26" ht="13" x14ac:dyDescent="0.15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 spans="1:26" ht="13" x14ac:dyDescent="0.15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 spans="1:26" ht="13" x14ac:dyDescent="0.15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 spans="1:26" ht="13" x14ac:dyDescent="0.15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 spans="1:26" ht="13" x14ac:dyDescent="0.15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 spans="1:26" ht="13" x14ac:dyDescent="0.15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 spans="1:26" ht="13" x14ac:dyDescent="0.15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 spans="1:26" ht="13" x14ac:dyDescent="0.15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 spans="1:26" ht="13" x14ac:dyDescent="0.15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 spans="1:26" ht="13" x14ac:dyDescent="0.15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 spans="1:26" ht="13" x14ac:dyDescent="0.15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 spans="1:26" ht="13" x14ac:dyDescent="0.15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 spans="1:26" ht="13" x14ac:dyDescent="0.15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</sheetData>
  <sheetProtection sheet="1" objects="1" scenarios="1"/>
  <mergeCells count="9">
    <mergeCell ref="L5:P5"/>
    <mergeCell ref="Q5:T5"/>
    <mergeCell ref="B2:T3"/>
    <mergeCell ref="B4:F4"/>
    <mergeCell ref="G4:K4"/>
    <mergeCell ref="L4:P4"/>
    <mergeCell ref="Q4:T4"/>
    <mergeCell ref="B5:F5"/>
    <mergeCell ref="G5:K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0 - Setup (Lists)</vt:lpstr>
      <vt:lpstr>1 - Customers</vt:lpstr>
      <vt:lpstr>2 - Sales Pipeline</vt:lpstr>
      <vt:lpstr>3 - Activity Timeline</vt:lpstr>
      <vt:lpstr>4 - Pivot Tables</vt:lpstr>
      <vt:lpstr>5 -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Dolma Bhuti</cp:lastModifiedBy>
  <dcterms:created xsi:type="dcterms:W3CDTF">2025-12-30T01:53:35Z</dcterms:created>
  <dcterms:modified xsi:type="dcterms:W3CDTF">2025-12-30T01:54:18Z</dcterms:modified>
</cp:coreProperties>
</file>